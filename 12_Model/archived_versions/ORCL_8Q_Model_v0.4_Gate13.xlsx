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Panel" sheetId="1" state="visible" r:id="rId1"/>
    <sheet xmlns:r="http://schemas.openxmlformats.org/officeDocument/2006/relationships" name="Historical Actuals" sheetId="2" state="visible" r:id="rId2"/>
    <sheet xmlns:r="http://schemas.openxmlformats.org/officeDocument/2006/relationships" name="Scenario Assumptions" sheetId="3" state="visible" r:id="rId3"/>
    <sheet xmlns:r="http://schemas.openxmlformats.org/officeDocument/2006/relationships" name="Revenue Forecast" sheetId="4" state="visible" r:id="rId4"/>
    <sheet xmlns:r="http://schemas.openxmlformats.org/officeDocument/2006/relationships" name="Capex &amp; Depreciation" sheetId="5" state="visible" r:id="rId5"/>
    <sheet xmlns:r="http://schemas.openxmlformats.org/officeDocument/2006/relationships" name="Debt, Leases &amp; Cash" sheetId="6" state="visible" r:id="rId6"/>
    <sheet xmlns:r="http://schemas.openxmlformats.org/officeDocument/2006/relationships" name="Equity &amp; Shares" sheetId="7" state="visible" r:id="rId7"/>
    <sheet xmlns:r="http://schemas.openxmlformats.org/officeDocument/2006/relationships" name="Margin &amp; EBITDA" sheetId="8" state="visible" r:id="rId8"/>
    <sheet xmlns:r="http://schemas.openxmlformats.org/officeDocument/2006/relationships" name="Cash Flow &amp; Returns" sheetId="9" state="visible" r:id="rId9"/>
    <sheet xmlns:r="http://schemas.openxmlformats.org/officeDocument/2006/relationships" name="Valuation (Gate 13)" sheetId="10" state="visible" r:id="rId10"/>
    <sheet xmlns:r="http://schemas.openxmlformats.org/officeDocument/2006/relationships" name="Che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;($#,##0);-"/>
    <numFmt numFmtId="165" formatCode="0.0%"/>
    <numFmt numFmtId="166" formatCode="#,##0.0"/>
    <numFmt numFmtId="167" formatCode="0.0x"/>
    <numFmt numFmtId="168" formatCode="$0.00"/>
  </numFmts>
  <fonts count="1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</font>
    <font>
      <name val="Arial"/>
      <color rgb="000000FF"/>
    </font>
    <font>
      <name val="Arial"/>
      <sz val="9"/>
    </font>
    <font>
      <name val="Arial"/>
      <b val="1"/>
      <color rgb="00FFFFFF"/>
    </font>
    <font>
      <name val="Arial"/>
      <color rgb="00000000"/>
    </font>
    <font>
      <name val="Arial"/>
      <color rgb="00008000"/>
    </font>
    <font>
      <name val="Arial"/>
      <i val="1"/>
      <sz val="9"/>
    </font>
    <font>
      <name val="Arial"/>
      <i val="1"/>
      <color rgb="00666666"/>
      <sz val="8"/>
    </font>
    <font>
      <name val="Arial"/>
      <b val="1"/>
      <color rgb="00CC0000"/>
    </font>
    <font>
      <name val="Arial"/>
      <i val="1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7" fillId="3" borderId="1" applyAlignment="1" pivotButton="0" quotePrefix="0" xfId="0">
      <alignment horizontal="center" wrapText="1"/>
    </xf>
    <xf numFmtId="0" fontId="8" fillId="0" borderId="0" pivotButton="0" quotePrefix="0" xfId="0"/>
    <xf numFmtId="164" fontId="5" fillId="0" borderId="0" pivotButton="0" quotePrefix="0" xfId="0"/>
    <xf numFmtId="164" fontId="8" fillId="0" borderId="0" pivotButton="0" quotePrefix="0" xfId="0"/>
    <xf numFmtId="164" fontId="4" fillId="0" borderId="0" pivotButton="0" quotePrefix="0" xfId="0"/>
    <xf numFmtId="165" fontId="8" fillId="0" borderId="0" pivotButton="0" quotePrefix="0" xfId="0"/>
    <xf numFmtId="165" fontId="5" fillId="0" borderId="0" pivotButton="0" quotePrefix="0" xfId="0"/>
    <xf numFmtId="165" fontId="4" fillId="4" borderId="0" pivotButton="0" quotePrefix="0" xfId="0"/>
    <xf numFmtId="166" fontId="5" fillId="0" borderId="0" pivotButton="0" quotePrefix="0" xfId="0"/>
    <xf numFmtId="166" fontId="4" fillId="4" borderId="0" pivotButton="0" quotePrefix="0" xfId="0"/>
    <xf numFmtId="165" fontId="9" fillId="0" borderId="0" pivotButton="0" quotePrefix="0" xfId="0"/>
    <xf numFmtId="0" fontId="10" fillId="0" borderId="0" pivotButton="0" quotePrefix="0" xfId="0"/>
    <xf numFmtId="164" fontId="9" fillId="0" borderId="0" pivotButton="0" quotePrefix="0" xfId="0"/>
    <xf numFmtId="164" fontId="10" fillId="0" borderId="0" pivotButton="0" quotePrefix="0" xfId="0"/>
    <xf numFmtId="0" fontId="11" fillId="0" borderId="0" pivotButton="0" quotePrefix="0" xfId="0"/>
    <xf numFmtId="0" fontId="7" fillId="3" borderId="0" applyAlignment="1" pivotButton="0" quotePrefix="0" xfId="0">
      <alignment horizontal="center" wrapText="1"/>
    </xf>
    <xf numFmtId="3" fontId="5" fillId="0" borderId="0" pivotButton="0" quotePrefix="0" xfId="0"/>
    <xf numFmtId="3" fontId="9" fillId="0" borderId="0" pivotButton="0" quotePrefix="0" xfId="0"/>
    <xf numFmtId="3" fontId="8" fillId="0" borderId="0" pivotButton="0" quotePrefix="0" xfId="0"/>
    <xf numFmtId="3" fontId="10" fillId="0" borderId="0" pivotButton="0" quotePrefix="0" xfId="0"/>
    <xf numFmtId="167" fontId="4" fillId="0" borderId="0" pivotButton="0" quotePrefix="0" xfId="0"/>
    <xf numFmtId="168" fontId="4" fillId="0" borderId="0" pivotButton="0" quotePrefix="0" xfId="0"/>
    <xf numFmtId="0" fontId="9" fillId="0" borderId="0" pivotButton="0" quotePrefix="0" xfId="0"/>
    <xf numFmtId="168" fontId="9" fillId="0" borderId="0" pivotButton="0" quotePrefix="0" xfId="0"/>
    <xf numFmtId="0" fontId="0" fillId="2" borderId="0" pivotButton="0" quotePrefix="0" xfId="0"/>
    <xf numFmtId="0" fontId="12" fillId="0" borderId="0" pivotButton="0" quotePrefix="0" xfId="0"/>
    <xf numFmtId="164" fontId="13" fillId="0" borderId="0" pivotButton="0" quotePrefix="0" xfId="0"/>
    <xf numFmtId="168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60" customWidth="1" min="3" max="3"/>
  </cols>
  <sheetData>
    <row r="1">
      <c r="A1" s="1" t="inlineStr">
        <is>
          <t>ORCL Eight-Quarter Model — Control Panel</t>
        </is>
      </c>
    </row>
    <row r="2">
      <c r="A2" s="2" t="inlineStr">
        <is>
          <t>Gate 10 minimal build — 2026-07-21. Scenario ranges per D-020 (Gate 8, ratified); driver mechanics per Gate 7 (11_Analysis/forecast/GATE7_FORECAST_DRIVER_DESIGN.md).</t>
        </is>
      </c>
    </row>
    <row r="4">
      <c r="A4" s="3" t="inlineStr">
        <is>
          <t>Scenario selector</t>
        </is>
      </c>
    </row>
    <row r="5">
      <c r="A5" s="4" t="inlineStr">
        <is>
          <t>Selected scenario</t>
        </is>
      </c>
      <c r="B5" s="5" t="inlineStr">
        <is>
          <t>Base</t>
        </is>
      </c>
      <c r="C5" s="2" t="inlineStr">
        <is>
          <t>Choose Bear / Base / Bull — drives every scenario-switched cell in the model</t>
        </is>
      </c>
    </row>
    <row r="7">
      <c r="A7" s="3" t="inlineStr">
        <is>
          <t>Valuation-date selector (informational, Gate 13 uses this)</t>
        </is>
      </c>
    </row>
    <row r="8">
      <c r="A8" s="4" t="inlineStr">
        <is>
          <t>Selected valuation date</t>
        </is>
      </c>
      <c r="B8" s="5" t="inlineStr">
        <is>
          <t>FY27 Q1 (2026-09-10)</t>
        </is>
      </c>
    </row>
    <row r="10">
      <c r="A10" s="3" t="inlineStr">
        <is>
          <t>Key model references</t>
        </is>
      </c>
    </row>
    <row r="11">
      <c r="A11" s="4" t="inlineStr">
        <is>
          <t>Historical dataset</t>
        </is>
      </c>
      <c r="B11" s="6" t="inlineStr">
        <is>
          <t>10_Working_Data/raw_extractions/orcl_historical_quarterly_full.csv (Gate 6, verified zero discrepancies)</t>
        </is>
      </c>
    </row>
    <row r="12">
      <c r="A12" s="4" t="inlineStr">
        <is>
          <t>EBITDA definition</t>
        </is>
      </c>
      <c r="B12" s="6" t="inlineStr">
        <is>
          <t>D-014, ratified — GAAP operating income + CF depreciation + amortization of intangibles, no SBC add-back</t>
        </is>
      </c>
    </row>
    <row r="13">
      <c r="A13" s="4" t="inlineStr">
        <is>
          <t>Scenario ranges</t>
        </is>
      </c>
      <c r="B13" s="6" t="inlineStr">
        <is>
          <t>D-020, ratified (Gate 8) — see 'Scenario Assumptions' tab</t>
        </is>
      </c>
    </row>
    <row r="14">
      <c r="A14" s="4" t="inlineStr">
        <is>
          <t>Driver mechanics</t>
        </is>
      </c>
      <c r="B14" s="6" t="inlineStr">
        <is>
          <t>11_Analysis/forecast/GATE7_FORECAST_DRIVER_DESIGN.md (Gate 7)</t>
        </is>
      </c>
    </row>
    <row r="15">
      <c r="A15" s="4" t="inlineStr">
        <is>
          <t>Comps methodology</t>
        </is>
      </c>
      <c r="B15" s="6" t="inlineStr">
        <is>
          <t>D-021, ratified (Gate 9) — EV/NTM EBITDA primary; multiples NOT yet assigned, pending Q-08/C-09</t>
        </is>
      </c>
    </row>
    <row r="17">
      <c r="A17" s="3" t="inlineStr">
        <is>
          <t>Scope note</t>
        </is>
      </c>
    </row>
    <row r="18" ht="45" customHeight="1">
      <c r="A18" s="7" t="inlineStr">
        <is>
          <t>This is a MINIMAL build (Gate 10): historical actuals, revenue-stream forecast with scenario switching, top-down margin/EBITDA, and integrity checks. Debt/lease/ATM-dilution mechanics, the capacity index (D-019), and per-share valuation output are Gate 12 (full build) / Gate 13 (valuation) scope — not built here.</t>
        </is>
      </c>
    </row>
  </sheetData>
  <mergeCells count="7">
    <mergeCell ref="B13:C13"/>
    <mergeCell ref="B15:C15"/>
    <mergeCell ref="B11:C11"/>
    <mergeCell ref="A18:C18"/>
    <mergeCell ref="B14:C14"/>
    <mergeCell ref="A2:C2"/>
    <mergeCell ref="B12:C12"/>
  </mergeCells>
  <dataValidations count="2">
    <dataValidation sqref="B5" showDropDown="0" showInputMessage="0" showErrorMessage="0" allowBlank="0" type="list">
      <formula1>"Bear,Base,Bull"</formula1>
    </dataValidation>
    <dataValidation sqref="B8" showDropDown="0" showInputMessage="0" showErrorMessage="0" allowBlank="0" type="list">
      <formula1>"FY27 Q1 (2026-09-10),FY27 Q2 (est. Dec 2026),FY27 Q3 (est. Mar 2027),FY27 Q4 (est. Jun 2027)"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4" customWidth="1" min="10" max="10"/>
    <col width="11" customWidth="1" min="11" max="11"/>
    <col width="11" customWidth="1" min="12" max="12"/>
  </cols>
  <sheetData>
    <row r="1">
      <c r="A1" s="1" t="inlineStr">
        <is>
          <t>Historical Actuals — FY2025 Q1 through FY2026 Q4</t>
        </is>
      </c>
    </row>
    <row r="2">
      <c r="A2" s="2" t="inlineStr">
        <is>
          <t>Source: orcl_historical_quarterly_full.csv / _full_provenance.csv (Gate 6, cross-document verified, zero discrepancies). USD millions unless noted.</t>
        </is>
      </c>
    </row>
    <row r="4">
      <c r="A4" s="8" t="inlineStr">
        <is>
          <t>Field (USD $mm)</t>
        </is>
      </c>
      <c r="B4" s="8" t="inlineStr">
        <is>
          <t>FY25_Q1</t>
        </is>
      </c>
      <c r="C4" s="8" t="inlineStr">
        <is>
          <t>FY25_Q2</t>
        </is>
      </c>
      <c r="D4" s="8" t="inlineStr">
        <is>
          <t>FY25_Q3</t>
        </is>
      </c>
      <c r="E4" s="8" t="inlineStr">
        <is>
          <t>FY25_Q4</t>
        </is>
      </c>
      <c r="F4" s="8" t="inlineStr">
        <is>
          <t>FY26_Q1</t>
        </is>
      </c>
      <c r="G4" s="8" t="inlineStr">
        <is>
          <t>FY26_Q2</t>
        </is>
      </c>
      <c r="H4" s="8" t="inlineStr">
        <is>
          <t>FY26_Q3</t>
        </is>
      </c>
      <c r="I4" s="8" t="inlineStr">
        <is>
          <t>FY26_Q4</t>
        </is>
      </c>
      <c r="J4" s="8" t="inlineStr"/>
      <c r="K4" s="8" t="inlineStr">
        <is>
          <t>FY2025</t>
        </is>
      </c>
      <c r="L4" s="8" t="inlineStr">
        <is>
          <t>FY2026</t>
        </is>
      </c>
    </row>
    <row r="5">
      <c r="A5" s="9" t="inlineStr">
        <is>
          <t>REV_310 — OCI revenue</t>
        </is>
      </c>
      <c r="B5" s="10" t="n">
        <v>2154</v>
      </c>
      <c r="C5" s="10" t="n">
        <v>2434</v>
      </c>
      <c r="D5" s="10" t="n">
        <v>2652</v>
      </c>
      <c r="E5" s="10" t="n">
        <v>2995</v>
      </c>
      <c r="F5" s="10" t="n">
        <v>3347</v>
      </c>
      <c r="G5" s="10" t="n">
        <v>4079</v>
      </c>
      <c r="H5" s="10" t="n">
        <v>4888</v>
      </c>
      <c r="I5" s="10" t="n">
        <v>5787</v>
      </c>
      <c r="K5" s="11">
        <f>SUM(B5:E5)</f>
        <v/>
      </c>
      <c r="L5" s="11">
        <f>SUM(F5:I5)</f>
        <v/>
      </c>
    </row>
    <row r="6">
      <c r="A6" s="9" t="inlineStr">
        <is>
          <t>REV_320 — Cloud applications revenue</t>
        </is>
      </c>
      <c r="B6" s="10" t="n">
        <v>3469</v>
      </c>
      <c r="C6" s="10" t="n">
        <v>3503</v>
      </c>
      <c r="D6" s="10" t="n">
        <v>3558</v>
      </c>
      <c r="E6" s="10" t="n">
        <v>3742</v>
      </c>
      <c r="F6" s="10" t="n">
        <v>3839</v>
      </c>
      <c r="G6" s="10" t="n">
        <v>3898</v>
      </c>
      <c r="H6" s="10" t="n">
        <v>4026</v>
      </c>
      <c r="I6" s="10" t="n">
        <v>4126</v>
      </c>
      <c r="K6" s="11">
        <f>SUM(B6:E6)</f>
        <v/>
      </c>
      <c r="L6" s="11">
        <f>SUM(F6:I6)</f>
        <v/>
      </c>
    </row>
    <row r="7">
      <c r="A7" s="9" t="inlineStr">
        <is>
          <t>REV_330 — Software support revenue</t>
        </is>
      </c>
      <c r="B7" s="10" t="n">
        <v>4896</v>
      </c>
      <c r="C7" s="10" t="n">
        <v>4869</v>
      </c>
      <c r="D7" s="10" t="n">
        <v>4797</v>
      </c>
      <c r="E7" s="10" t="n">
        <v>4961</v>
      </c>
      <c r="F7" s="10" t="n">
        <v>4955</v>
      </c>
      <c r="G7" s="10" t="n">
        <v>4938</v>
      </c>
      <c r="H7" s="10" t="n">
        <v>4969</v>
      </c>
      <c r="I7" s="10" t="n">
        <v>4943</v>
      </c>
      <c r="K7" s="11">
        <f>SUM(B7:E7)</f>
        <v/>
      </c>
      <c r="L7" s="11">
        <f>SUM(F7:I7)</f>
        <v/>
      </c>
    </row>
    <row r="8">
      <c r="A8" s="9" t="inlineStr">
        <is>
          <t>REV_340 — Software license revenue</t>
        </is>
      </c>
      <c r="B8" s="10" t="n">
        <v>870</v>
      </c>
      <c r="C8" s="10" t="n">
        <v>1195</v>
      </c>
      <c r="D8" s="10" t="n">
        <v>1129</v>
      </c>
      <c r="E8" s="10" t="n">
        <v>2007</v>
      </c>
      <c r="F8" s="10" t="n">
        <v>766</v>
      </c>
      <c r="G8" s="10" t="n">
        <v>939</v>
      </c>
      <c r="H8" s="10" t="n">
        <v>1150</v>
      </c>
      <c r="I8" s="10" t="n">
        <v>1881</v>
      </c>
      <c r="K8" s="11">
        <f>SUM(B8:E8)</f>
        <v/>
      </c>
      <c r="L8" s="11">
        <f>SUM(F8:I8)</f>
        <v/>
      </c>
    </row>
    <row r="9">
      <c r="A9" s="9" t="inlineStr">
        <is>
          <t>REV_350 — Hardware revenue</t>
        </is>
      </c>
      <c r="B9" s="10" t="n">
        <v>655</v>
      </c>
      <c r="C9" s="10" t="n">
        <v>728</v>
      </c>
      <c r="D9" s="10" t="n">
        <v>703</v>
      </c>
      <c r="E9" s="10" t="n">
        <v>850</v>
      </c>
      <c r="F9" s="10" t="n">
        <v>670</v>
      </c>
      <c r="G9" s="10" t="n">
        <v>776</v>
      </c>
      <c r="H9" s="10" t="n">
        <v>714</v>
      </c>
      <c r="I9" s="10" t="n">
        <v>924</v>
      </c>
      <c r="K9" s="11">
        <f>SUM(B9:E9)</f>
        <v/>
      </c>
      <c r="L9" s="11">
        <f>SUM(F9:I9)</f>
        <v/>
      </c>
    </row>
    <row r="10">
      <c r="A10" s="9" t="inlineStr">
        <is>
          <t>REV_360 — Services revenue</t>
        </is>
      </c>
      <c r="B10" s="10" t="n">
        <v>1263</v>
      </c>
      <c r="C10" s="10" t="n">
        <v>1330</v>
      </c>
      <c r="D10" s="10" t="n">
        <v>1291</v>
      </c>
      <c r="E10" s="10" t="n">
        <v>1348</v>
      </c>
      <c r="F10" s="10" t="n">
        <v>1349</v>
      </c>
      <c r="G10" s="10" t="n">
        <v>1428</v>
      </c>
      <c r="H10" s="10" t="n">
        <v>1443</v>
      </c>
      <c r="I10" s="10" t="n">
        <v>1523</v>
      </c>
      <c r="K10" s="11">
        <f>SUM(B10:E10)</f>
        <v/>
      </c>
      <c r="L10" s="11">
        <f>SUM(F10:I10)</f>
        <v/>
      </c>
    </row>
    <row r="11">
      <c r="A11" s="4" t="inlineStr">
        <is>
          <t>REV_370 — Total revenue (sum of six streams)</t>
        </is>
      </c>
      <c r="B11" s="12">
        <f>SUM(B5:B10)</f>
        <v/>
      </c>
      <c r="C11" s="12">
        <f>SUM(C5:C10)</f>
        <v/>
      </c>
      <c r="D11" s="12">
        <f>SUM(D5:D10)</f>
        <v/>
      </c>
      <c r="E11" s="12">
        <f>SUM(E5:E10)</f>
        <v/>
      </c>
      <c r="F11" s="12">
        <f>SUM(F5:F10)</f>
        <v/>
      </c>
      <c r="G11" s="12">
        <f>SUM(G5:G10)</f>
        <v/>
      </c>
      <c r="H11" s="12">
        <f>SUM(H5:H10)</f>
        <v/>
      </c>
      <c r="I11" s="12">
        <f>SUM(I5:I10)</f>
        <v/>
      </c>
      <c r="K11" s="12">
        <f>SUM(K5:K10)</f>
        <v/>
      </c>
      <c r="L11" s="12">
        <f>SUM(L5:L10)</f>
        <v/>
      </c>
    </row>
    <row r="13">
      <c r="A13" s="3" t="inlineStr">
        <is>
          <t>Supplemental P&amp;L (for margin/EBITDA reference)</t>
        </is>
      </c>
    </row>
    <row r="14">
      <c r="A14" s="9" t="inlineStr">
        <is>
          <t>COGS_050 — Gross profit (GAAP, calculated)</t>
        </is>
      </c>
      <c r="B14" s="10" t="n">
        <v>9401</v>
      </c>
      <c r="C14" s="10" t="n">
        <v>9974</v>
      </c>
      <c r="D14" s="10" t="n">
        <v>9935</v>
      </c>
      <c r="E14" s="10" t="n">
        <v>11163</v>
      </c>
      <c r="F14" s="10" t="n">
        <v>10042</v>
      </c>
      <c r="G14" s="10" t="n">
        <v>10704</v>
      </c>
      <c r="H14" s="10" t="n">
        <v>11098</v>
      </c>
      <c r="I14" s="10" t="n">
        <v>12512</v>
      </c>
      <c r="K14" s="11">
        <f>SUM(B14:E14)</f>
        <v/>
      </c>
      <c r="L14" s="11">
        <f>SUM(F14:I14)</f>
        <v/>
      </c>
    </row>
    <row r="15">
      <c r="A15" s="9" t="inlineStr">
        <is>
          <t>PROF_010 — GAAP operating income</t>
        </is>
      </c>
      <c r="B15" s="10" t="n">
        <v>3991</v>
      </c>
      <c r="C15" s="10" t="n">
        <v>4220</v>
      </c>
      <c r="D15" s="10" t="n">
        <v>4358</v>
      </c>
      <c r="E15" s="10" t="n">
        <v>5109</v>
      </c>
      <c r="F15" s="10" t="n">
        <v>4277</v>
      </c>
      <c r="G15" s="10" t="n">
        <v>4731</v>
      </c>
      <c r="H15" s="10" t="n">
        <v>5464</v>
      </c>
      <c r="I15" s="10" t="n">
        <v>6133</v>
      </c>
      <c r="K15" s="11">
        <f>SUM(B15:E15)</f>
        <v/>
      </c>
      <c r="L15" s="11">
        <f>SUM(F15:I15)</f>
        <v/>
      </c>
    </row>
    <row r="16">
      <c r="A16" s="9" t="inlineStr">
        <is>
          <t>PROF_030 — Non-GAAP operating income</t>
        </is>
      </c>
      <c r="B16" s="10" t="n">
        <v>5708</v>
      </c>
      <c r="C16" s="10" t="n">
        <v>6096</v>
      </c>
      <c r="D16" s="10" t="n">
        <v>6195</v>
      </c>
      <c r="E16" s="10" t="n">
        <v>7035</v>
      </c>
      <c r="F16" s="10" t="n">
        <v>6236</v>
      </c>
      <c r="G16" s="10" t="n">
        <v>6721</v>
      </c>
      <c r="H16" s="10" t="n">
        <v>7378</v>
      </c>
      <c r="I16" s="10" t="n">
        <v>8590</v>
      </c>
      <c r="K16" s="11">
        <f>SUM(B16:E16)</f>
        <v/>
      </c>
      <c r="L16" s="11">
        <f>SUM(F16:I16)</f>
        <v/>
      </c>
    </row>
    <row r="17">
      <c r="A17" s="9" t="inlineStr">
        <is>
          <t>PROF_160 — EBITDA (D-014 definition, ratified)</t>
        </is>
      </c>
      <c r="B17" s="10" t="n">
        <v>5439</v>
      </c>
      <c r="C17" s="10" t="n">
        <v>5719</v>
      </c>
      <c r="D17" s="10" t="n">
        <v>5909</v>
      </c>
      <c r="E17" s="10" t="n">
        <v>6805</v>
      </c>
      <c r="F17" s="10" t="n">
        <v>6048</v>
      </c>
      <c r="G17" s="10" t="n">
        <v>6842</v>
      </c>
      <c r="H17" s="10" t="n">
        <v>8030</v>
      </c>
      <c r="I17" s="10" t="n">
        <v>8980</v>
      </c>
      <c r="K17" s="11">
        <f>SUM(B17:E17)</f>
        <v/>
      </c>
      <c r="L17" s="11">
        <f>SUM(F17:I17)</f>
        <v/>
      </c>
    </row>
    <row r="19">
      <c r="A19" s="9" t="inlineStr">
        <is>
          <t>GAAP gross margin % (=Gross profit / Total revenue)</t>
        </is>
      </c>
      <c r="B19" s="13">
        <f>B14/B11</f>
        <v/>
      </c>
      <c r="C19" s="13">
        <f>C14/C11</f>
        <v/>
      </c>
      <c r="D19" s="13">
        <f>D14/D11</f>
        <v/>
      </c>
      <c r="E19" s="13">
        <f>E14/E11</f>
        <v/>
      </c>
      <c r="F19" s="13">
        <f>F14/F11</f>
        <v/>
      </c>
      <c r="G19" s="13">
        <f>G14/G11</f>
        <v/>
      </c>
      <c r="H19" s="13">
        <f>H14/H11</f>
        <v/>
      </c>
      <c r="I19" s="13">
        <f>I14/I11</f>
        <v/>
      </c>
    </row>
    <row r="20">
      <c r="A20" s="9" t="inlineStr">
        <is>
          <t>GAAP operating margin % (=Op income / Total revenue)</t>
        </is>
      </c>
      <c r="B20" s="13">
        <f>B15/B11</f>
        <v/>
      </c>
      <c r="C20" s="13">
        <f>C15/C11</f>
        <v/>
      </c>
      <c r="D20" s="13">
        <f>D15/D11</f>
        <v/>
      </c>
      <c r="E20" s="13">
        <f>E15/E11</f>
        <v/>
      </c>
      <c r="F20" s="13">
        <f>F15/F11</f>
        <v/>
      </c>
      <c r="G20" s="13">
        <f>G15/G11</f>
        <v/>
      </c>
      <c r="H20" s="13">
        <f>H15/H11</f>
        <v/>
      </c>
      <c r="I20" s="13">
        <f>I15/I11</f>
        <v/>
      </c>
    </row>
    <row r="21">
      <c r="A21" s="9" t="inlineStr">
        <is>
          <t>Non-GAAP operating margin % (=Non-GAAP op income / Total revenue)</t>
        </is>
      </c>
      <c r="B21" s="13">
        <f>B16/B11</f>
        <v/>
      </c>
      <c r="C21" s="13">
        <f>C16/C11</f>
        <v/>
      </c>
      <c r="D21" s="13">
        <f>D16/D11</f>
        <v/>
      </c>
      <c r="E21" s="13">
        <f>E16/E11</f>
        <v/>
      </c>
      <c r="F21" s="13">
        <f>F16/F11</f>
        <v/>
      </c>
      <c r="G21" s="13">
        <f>G16/G11</f>
        <v/>
      </c>
      <c r="H21" s="13">
        <f>H16/H11</f>
        <v/>
      </c>
      <c r="I21" s="13">
        <f>I16/I11</f>
        <v/>
      </c>
    </row>
    <row r="23">
      <c r="A23" s="3" t="inlineStr">
        <is>
          <t>GAAP/non-GAAP bridge components (for CHECK_090)</t>
        </is>
      </c>
    </row>
    <row r="24">
      <c r="A24" s="9" t="inlineStr">
        <is>
          <t>OPEX_040 — Amortization of intangible assets</t>
        </is>
      </c>
      <c r="B24" s="10" t="n">
        <v>624</v>
      </c>
      <c r="C24" s="10" t="n">
        <v>591</v>
      </c>
      <c r="D24" s="10" t="n">
        <v>548</v>
      </c>
      <c r="E24" s="10" t="n">
        <v>544</v>
      </c>
      <c r="F24" s="10" t="n">
        <v>420</v>
      </c>
      <c r="G24" s="10" t="n">
        <v>407</v>
      </c>
      <c r="H24" s="10" t="n">
        <v>413</v>
      </c>
      <c r="I24" s="10" t="n">
        <v>431</v>
      </c>
    </row>
    <row r="25">
      <c r="A25" s="9" t="inlineStr">
        <is>
          <t>OPEX_070 — Stock-based compensation (total)</t>
        </is>
      </c>
      <c r="B25" s="10" t="n">
        <v>1007</v>
      </c>
      <c r="C25" s="10" t="n">
        <v>1169</v>
      </c>
      <c r="D25" s="10" t="n">
        <v>1198</v>
      </c>
      <c r="E25" s="10" t="n">
        <v>1299</v>
      </c>
      <c r="F25" s="10" t="n">
        <v>1124</v>
      </c>
      <c r="G25" s="10" t="n">
        <v>1156</v>
      </c>
      <c r="H25" s="10" t="n">
        <v>1328</v>
      </c>
      <c r="I25" s="10" t="n">
        <v>1203</v>
      </c>
    </row>
    <row r="26">
      <c r="A26" s="9" t="inlineStr">
        <is>
          <t>Acquisition-related + restructuring (combined; OPEX_050+060, or OPEX_065 where combined-caption)</t>
        </is>
      </c>
      <c r="B26" s="10" t="n">
        <v>86</v>
      </c>
      <c r="C26" s="10" t="n">
        <v>115</v>
      </c>
      <c r="D26" s="10" t="n">
        <v>91</v>
      </c>
      <c r="E26" s="10" t="n">
        <v>83</v>
      </c>
      <c r="F26" s="10" t="n">
        <v>415</v>
      </c>
      <c r="G26" s="10" t="n">
        <v>427</v>
      </c>
      <c r="H26" s="10" t="n">
        <v>173</v>
      </c>
      <c r="I26" s="10" t="n">
        <v>823</v>
      </c>
    </row>
    <row r="28">
      <c r="A28" s="3" t="inlineStr">
        <is>
          <t>Debt, cash &amp; lease anchors (for Debt/Leases/Cash tab)</t>
        </is>
      </c>
    </row>
    <row r="29">
      <c r="A29" s="9" t="inlineStr">
        <is>
          <t>DEBT_030 — Gross debt</t>
        </is>
      </c>
      <c r="B29" s="10" t="n">
        <v>84515</v>
      </c>
      <c r="C29" s="10" t="n">
        <v>88624</v>
      </c>
      <c r="D29" s="10" t="n">
        <v>96276</v>
      </c>
      <c r="E29" s="10" t="n">
        <v>92568</v>
      </c>
      <c r="F29" s="10" t="n">
        <v>91315</v>
      </c>
      <c r="G29" s="10" t="n">
        <v>108075</v>
      </c>
      <c r="H29" s="10" t="n">
        <v>134605</v>
      </c>
      <c r="I29" s="10" t="n">
        <v>129541</v>
      </c>
    </row>
    <row r="30">
      <c r="A30" s="9" t="inlineStr">
        <is>
          <t>BS_010 — Cash and cash equivalents</t>
        </is>
      </c>
      <c r="B30" s="10" t="n">
        <v>10616</v>
      </c>
      <c r="C30" s="10" t="n">
        <v>10941</v>
      </c>
      <c r="D30" s="10" t="n">
        <v>17406</v>
      </c>
      <c r="E30" s="10" t="n">
        <v>10786</v>
      </c>
      <c r="F30" s="10" t="n">
        <v>10445</v>
      </c>
      <c r="G30" s="10" t="n">
        <v>19241</v>
      </c>
      <c r="H30" s="10" t="n">
        <v>38455</v>
      </c>
      <c r="I30" s="10" t="n">
        <v>31289</v>
      </c>
    </row>
    <row r="31">
      <c r="A31" s="9" t="inlineStr">
        <is>
          <t>DEBT_050 — Operating lease liabilities, current</t>
        </is>
      </c>
      <c r="B31" s="10" t="n"/>
      <c r="C31" s="10" t="n"/>
      <c r="D31" s="10" t="n"/>
      <c r="E31" s="10" t="n">
        <v>1914</v>
      </c>
      <c r="F31" s="10" t="n">
        <v>2196</v>
      </c>
      <c r="G31" s="10" t="n">
        <v>2368</v>
      </c>
      <c r="H31" s="10" t="n">
        <v>2798</v>
      </c>
      <c r="I31" s="10" t="n">
        <v>3542</v>
      </c>
    </row>
    <row r="32">
      <c r="A32" s="9" t="inlineStr">
        <is>
          <t>DEBT_060 — Operating lease liabilities, noncurrent</t>
        </is>
      </c>
      <c r="B32" s="10" t="n"/>
      <c r="C32" s="10" t="n"/>
      <c r="D32" s="10" t="n"/>
      <c r="E32" s="10" t="n">
        <v>11536</v>
      </c>
      <c r="F32" s="10" t="n">
        <v>14094</v>
      </c>
      <c r="G32" s="10" t="n">
        <v>16311</v>
      </c>
      <c r="H32" s="10" t="n">
        <v>18512</v>
      </c>
      <c r="I32" s="10" t="n">
        <v>26648</v>
      </c>
    </row>
    <row r="33">
      <c r="A33" s="9" t="inlineStr">
        <is>
          <t>SHARE_020 — Diluted weighted-average shares (mm)</t>
        </is>
      </c>
      <c r="B33" s="24" t="n">
        <v>2851</v>
      </c>
      <c r="C33" s="24" t="n">
        <v>2869</v>
      </c>
      <c r="D33" s="24" t="n">
        <v>2874</v>
      </c>
      <c r="E33" s="24" t="n">
        <v>2871</v>
      </c>
      <c r="F33" s="24" t="n">
        <v>2909</v>
      </c>
      <c r="G33" s="24" t="n">
        <v>2922</v>
      </c>
      <c r="H33" s="24" t="n">
        <v>2912</v>
      </c>
      <c r="I33" s="24" t="n">
        <v>2915</v>
      </c>
    </row>
  </sheetData>
  <mergeCells count="1">
    <mergeCell ref="A2:K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9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2" customWidth="1" min="9" max="9"/>
    <col width="34" customWidth="1" min="10" max="10"/>
  </cols>
  <sheetData>
    <row r="1">
      <c r="A1" s="1" t="inlineStr">
        <is>
          <t>Scenario Assumptions — D-020 (Gate 8, ratified 2026-07-21)</t>
        </is>
      </c>
    </row>
    <row r="2">
      <c r="A2" s="2" t="inlineStr">
        <is>
          <t>Ranges reproduced verbatim from decision_log.md D-020. 'Selected' pulls the MIDPOINT of the scenario chosen on the Control Panel tab.</t>
        </is>
      </c>
    </row>
    <row r="4">
      <c r="A4" s="8" t="inlineStr">
        <is>
          <t>Driver</t>
        </is>
      </c>
      <c r="B4" s="8" t="inlineStr">
        <is>
          <t>FY</t>
        </is>
      </c>
      <c r="C4" s="8" t="inlineStr">
        <is>
          <t>Bear low</t>
        </is>
      </c>
      <c r="D4" s="8" t="inlineStr">
        <is>
          <t>Bear high</t>
        </is>
      </c>
      <c r="E4" s="8" t="inlineStr">
        <is>
          <t>Base low</t>
        </is>
      </c>
      <c r="F4" s="8" t="inlineStr">
        <is>
          <t>Base high</t>
        </is>
      </c>
      <c r="G4" s="8" t="inlineStr">
        <is>
          <t>Bull low</t>
        </is>
      </c>
      <c r="H4" s="8" t="inlineStr">
        <is>
          <t>Bull high</t>
        </is>
      </c>
      <c r="I4" s="8" t="inlineStr">
        <is>
          <t>Selected (mid)</t>
        </is>
      </c>
      <c r="J4" s="8" t="inlineStr">
        <is>
          <t>Wired into Gate 10 forecast?</t>
        </is>
      </c>
    </row>
    <row r="5">
      <c r="A5" s="9" t="inlineStr">
        <is>
          <t>OCI growth %</t>
        </is>
      </c>
      <c r="B5" s="9" t="inlineStr">
        <is>
          <t>FY27</t>
        </is>
      </c>
      <c r="C5" s="14" t="n">
        <v>0.88</v>
      </c>
      <c r="D5" s="14" t="n">
        <v>0.98</v>
      </c>
      <c r="E5" s="14" t="n">
        <v>1.12</v>
      </c>
      <c r="F5" s="14" t="n">
        <v>1.18</v>
      </c>
      <c r="G5" s="14" t="n">
        <v>1.3</v>
      </c>
      <c r="H5" s="14" t="n">
        <v>1.4</v>
      </c>
      <c r="I5" s="15">
        <f>IF('Control Panel'!$B$5="Bear",AVERAGE(C5:D5),IF('Control Panel'!$B$5="Base",AVERAGE(E5:F5),AVERAGE(G5:H5)))</f>
        <v/>
      </c>
      <c r="J5" s="2" t="inlineStr">
        <is>
          <t>Yes — Revenue Forecast tab</t>
        </is>
      </c>
    </row>
    <row r="6">
      <c r="A6" s="9" t="inlineStr">
        <is>
          <t>OCI growth %</t>
        </is>
      </c>
      <c r="B6" s="9" t="inlineStr">
        <is>
          <t>FY28</t>
        </is>
      </c>
      <c r="C6" s="14" t="n">
        <v>0.5</v>
      </c>
      <c r="D6" s="14" t="n">
        <v>0.65</v>
      </c>
      <c r="E6" s="14" t="n">
        <v>0.85</v>
      </c>
      <c r="F6" s="14" t="n">
        <v>1</v>
      </c>
      <c r="G6" s="14" t="n">
        <v>0.95</v>
      </c>
      <c r="H6" s="14" t="n">
        <v>1.15</v>
      </c>
      <c r="I6" s="15">
        <f>IF('Control Panel'!$B$5="Bear",AVERAGE(C6:D6),IF('Control Panel'!$B$5="Base",AVERAGE(E6:F6),AVERAGE(G6:H6)))</f>
        <v/>
      </c>
      <c r="J6" s="2" t="inlineStr">
        <is>
          <t>Yes — Revenue Forecast tab</t>
        </is>
      </c>
    </row>
    <row r="7">
      <c r="A7" s="9" t="inlineStr">
        <is>
          <t>Applications growth %</t>
        </is>
      </c>
      <c r="B7" s="9" t="inlineStr">
        <is>
          <t>FY27</t>
        </is>
      </c>
      <c r="C7" s="14" t="n">
        <v>0.07000000000000001</v>
      </c>
      <c r="D7" s="14" t="n">
        <v>0.09</v>
      </c>
      <c r="E7" s="14" t="n">
        <v>0.1</v>
      </c>
      <c r="F7" s="14" t="n">
        <v>0.12</v>
      </c>
      <c r="G7" s="14" t="n">
        <v>0.14</v>
      </c>
      <c r="H7" s="14" t="n">
        <v>0.16</v>
      </c>
      <c r="I7" s="15">
        <f>IF('Control Panel'!$B$5="Bear",AVERAGE(C7:D7),IF('Control Panel'!$B$5="Base",AVERAGE(E7:F7),AVERAGE(G7:H7)))</f>
        <v/>
      </c>
      <c r="J7" s="2" t="inlineStr">
        <is>
          <t>Yes — Revenue Forecast tab</t>
        </is>
      </c>
    </row>
    <row r="8">
      <c r="A8" s="9" t="inlineStr">
        <is>
          <t>Applications growth %</t>
        </is>
      </c>
      <c r="B8" s="9" t="inlineStr">
        <is>
          <t>FY28</t>
        </is>
      </c>
      <c r="C8" s="14" t="n">
        <v>0.06</v>
      </c>
      <c r="D8" s="14" t="n">
        <v>0.08</v>
      </c>
      <c r="E8" s="14" t="n">
        <v>0.1</v>
      </c>
      <c r="F8" s="14" t="n">
        <v>0.12</v>
      </c>
      <c r="G8" s="14" t="n">
        <v>0.13</v>
      </c>
      <c r="H8" s="14" t="n">
        <v>0.15</v>
      </c>
      <c r="I8" s="15">
        <f>IF('Control Panel'!$B$5="Bear",AVERAGE(C8:D8),IF('Control Panel'!$B$5="Base",AVERAGE(E8:F8),AVERAGE(G8:H8)))</f>
        <v/>
      </c>
      <c r="J8" s="2" t="inlineStr">
        <is>
          <t>Yes — Revenue Forecast tab</t>
        </is>
      </c>
    </row>
    <row r="9">
      <c r="A9" s="9" t="inlineStr">
        <is>
          <t>Total revenue ($B, cross-check only)</t>
        </is>
      </c>
      <c r="B9" s="9" t="inlineStr">
        <is>
          <t>FY27</t>
        </is>
      </c>
      <c r="C9" s="16" t="n">
        <v>84</v>
      </c>
      <c r="D9" s="16" t="n">
        <v>86</v>
      </c>
      <c r="E9" s="16" t="n">
        <v>89.5</v>
      </c>
      <c r="F9" s="16" t="n">
        <v>90.5</v>
      </c>
      <c r="G9" s="16" t="n">
        <v>94</v>
      </c>
      <c r="H9" s="16" t="n">
        <v>97</v>
      </c>
      <c r="I9" s="17">
        <f>IF('Control Panel'!$B$5="Bear",AVERAGE(C9:D9),IF('Control Panel'!$B$5="Base",AVERAGE(E9:F9),AVERAGE(G9:H9)))</f>
        <v/>
      </c>
      <c r="J9" s="2" t="inlineStr">
        <is>
          <t>No — memo/cross-check only</t>
        </is>
      </c>
    </row>
    <row r="10">
      <c r="A10" s="9" t="inlineStr">
        <is>
          <t>Total revenue ($B, cross-check only)</t>
        </is>
      </c>
      <c r="B10" s="9" t="inlineStr">
        <is>
          <t>FY28</t>
        </is>
      </c>
      <c r="C10" s="16" t="n">
        <v>108</v>
      </c>
      <c r="D10" s="16" t="n">
        <v>116</v>
      </c>
      <c r="E10" s="16" t="n">
        <v>127</v>
      </c>
      <c r="F10" s="16" t="n">
        <v>132</v>
      </c>
      <c r="G10" s="16" t="n">
        <v>140</v>
      </c>
      <c r="H10" s="16" t="n">
        <v>150</v>
      </c>
      <c r="I10" s="17">
        <f>IF('Control Panel'!$B$5="Bear",AVERAGE(C10:D10),IF('Control Panel'!$B$5="Base",AVERAGE(E10:F10),AVERAGE(G10:H10)))</f>
        <v/>
      </c>
      <c r="J10" s="2" t="inlineStr">
        <is>
          <t>No — memo/cross-check only</t>
        </is>
      </c>
    </row>
    <row r="11">
      <c r="A11" s="9" t="inlineStr">
        <is>
          <t>GAAP gross margin %</t>
        </is>
      </c>
      <c r="B11" s="9" t="inlineStr">
        <is>
          <t>FY27</t>
        </is>
      </c>
      <c r="C11" s="14" t="n">
        <v>0.53</v>
      </c>
      <c r="D11" s="14" t="n">
        <v>0.5600000000000001</v>
      </c>
      <c r="E11" s="14" t="n">
        <v>0.55</v>
      </c>
      <c r="F11" s="14" t="n">
        <v>0.58</v>
      </c>
      <c r="G11" s="14" t="n">
        <v>0.58</v>
      </c>
      <c r="H11" s="14" t="n">
        <v>0.6</v>
      </c>
      <c r="I11" s="15">
        <f>IF('Control Panel'!$B$5="Bear",AVERAGE(C11:D11),IF('Control Panel'!$B$5="Base",AVERAGE(E11:F11),AVERAGE(G11:H11)))</f>
        <v/>
      </c>
      <c r="J11" s="2" t="inlineStr">
        <is>
          <t>Yes — Margin &amp; EBITDA tab</t>
        </is>
      </c>
    </row>
    <row r="12">
      <c r="A12" s="9" t="inlineStr">
        <is>
          <t>GAAP gross margin %</t>
        </is>
      </c>
      <c r="B12" s="9" t="inlineStr">
        <is>
          <t>FY28</t>
        </is>
      </c>
      <c r="C12" s="14" t="n">
        <v>0.5</v>
      </c>
      <c r="D12" s="14" t="n">
        <v>0.54</v>
      </c>
      <c r="E12" s="14" t="n">
        <v>0.52</v>
      </c>
      <c r="F12" s="14" t="n">
        <v>0.57</v>
      </c>
      <c r="G12" s="14" t="n">
        <v>0.57</v>
      </c>
      <c r="H12" s="14" t="n">
        <v>0.61</v>
      </c>
      <c r="I12" s="15">
        <f>IF('Control Panel'!$B$5="Bear",AVERAGE(C12:D12),IF('Control Panel'!$B$5="Base",AVERAGE(E12:F12),AVERAGE(G12:H12)))</f>
        <v/>
      </c>
      <c r="J12" s="2" t="inlineStr">
        <is>
          <t>Yes — Margin &amp; EBITDA tab</t>
        </is>
      </c>
    </row>
    <row r="13">
      <c r="A13" s="9" t="inlineStr">
        <is>
          <t>Non-GAAP operating margin %</t>
        </is>
      </c>
      <c r="B13" s="9" t="inlineStr">
        <is>
          <t>FY27</t>
        </is>
      </c>
      <c r="C13" s="14" t="n">
        <v>0.36</v>
      </c>
      <c r="D13" s="14" t="n">
        <v>0.385</v>
      </c>
      <c r="E13" s="14" t="n">
        <v>0.395</v>
      </c>
      <c r="F13" s="14" t="n">
        <v>0.415</v>
      </c>
      <c r="G13" s="14" t="n">
        <v>0.42</v>
      </c>
      <c r="H13" s="14" t="n">
        <v>0.44</v>
      </c>
      <c r="I13" s="15">
        <f>IF('Control Panel'!$B$5="Bear",AVERAGE(C13:D13),IF('Control Panel'!$B$5="Base",AVERAGE(E13:F13),AVERAGE(G13:H13)))</f>
        <v/>
      </c>
      <c r="J13" s="2" t="inlineStr">
        <is>
          <t>Yes — Margin &amp; EBITDA tab</t>
        </is>
      </c>
    </row>
    <row r="14">
      <c r="A14" s="9" t="inlineStr">
        <is>
          <t>Non-GAAP operating margin %</t>
        </is>
      </c>
      <c r="B14" s="9" t="inlineStr">
        <is>
          <t>FY28</t>
        </is>
      </c>
      <c r="C14" s="14" t="n">
        <v>0.34</v>
      </c>
      <c r="D14" s="14" t="n">
        <v>0.38</v>
      </c>
      <c r="E14" s="14" t="n">
        <v>0.385</v>
      </c>
      <c r="F14" s="14" t="n">
        <v>0.415</v>
      </c>
      <c r="G14" s="14" t="n">
        <v>0.42</v>
      </c>
      <c r="H14" s="14" t="n">
        <v>0.45</v>
      </c>
      <c r="I14" s="15">
        <f>IF('Control Panel'!$B$5="Bear",AVERAGE(C14:D14),IF('Control Panel'!$B$5="Base",AVERAGE(E14:F14),AVERAGE(G14:H14)))</f>
        <v/>
      </c>
      <c r="J14" s="2" t="inlineStr">
        <is>
          <t>Yes — Margin &amp; EBITDA tab</t>
        </is>
      </c>
    </row>
    <row r="15">
      <c r="A15" s="9" t="inlineStr">
        <is>
          <t>Gross reported capex ($B)</t>
        </is>
      </c>
      <c r="B15" s="9" t="inlineStr">
        <is>
          <t>FY27</t>
        </is>
      </c>
      <c r="C15" s="16" t="n">
        <v>92</v>
      </c>
      <c r="D15" s="16" t="n">
        <v>100</v>
      </c>
      <c r="E15" s="16" t="n">
        <v>90</v>
      </c>
      <c r="F15" s="16" t="n">
        <v>95</v>
      </c>
      <c r="G15" s="16" t="n">
        <v>95</v>
      </c>
      <c r="H15" s="16" t="n">
        <v>105</v>
      </c>
      <c r="I15" s="17">
        <f>IF('Control Panel'!$B$5="Bear",AVERAGE(C15:D15),IF('Control Panel'!$B$5="Base",AVERAGE(E15:F15),AVERAGE(G15:H15)))</f>
        <v/>
      </c>
      <c r="J15" s="2" t="inlineStr">
        <is>
          <t>No — Gate 12 (debt/capex build)</t>
        </is>
      </c>
    </row>
    <row r="16">
      <c r="A16" s="9" t="inlineStr">
        <is>
          <t>Gross capex ($B)</t>
        </is>
      </c>
      <c r="B16" s="9" t="inlineStr">
        <is>
          <t>FY28</t>
        </is>
      </c>
      <c r="C16" s="16" t="n">
        <v>85</v>
      </c>
      <c r="D16" s="16" t="n">
        <v>105</v>
      </c>
      <c r="E16" s="16" t="n">
        <v>100</v>
      </c>
      <c r="F16" s="16" t="n">
        <v>115</v>
      </c>
      <c r="G16" s="16" t="n">
        <v>115</v>
      </c>
      <c r="H16" s="16" t="n">
        <v>135</v>
      </c>
      <c r="I16" s="17">
        <f>IF('Control Panel'!$B$5="Bear",AVERAGE(C16:D16),IF('Control Panel'!$B$5="Base",AVERAGE(E16:F16),AVERAGE(G16:H16)))</f>
        <v/>
      </c>
      <c r="J16" s="2" t="inlineStr">
        <is>
          <t>No — Gate 12</t>
        </is>
      </c>
    </row>
    <row r="17">
      <c r="A17" s="9" t="inlineStr">
        <is>
          <t>Net cash capex ($B, FY27 only)</t>
        </is>
      </c>
      <c r="B17" s="9" t="inlineStr">
        <is>
          <t>FY27</t>
        </is>
      </c>
      <c r="C17" s="16" t="n">
        <v>75</v>
      </c>
      <c r="D17" s="16" t="n">
        <v>82</v>
      </c>
      <c r="E17" s="16" t="n">
        <v>68</v>
      </c>
      <c r="F17" s="16" t="n">
        <v>72</v>
      </c>
      <c r="G17" s="16" t="n">
        <v>65</v>
      </c>
      <c r="H17" s="16" t="n">
        <v>75</v>
      </c>
      <c r="I17" s="17">
        <f>IF('Control Panel'!$B$5="Bear",AVERAGE(C17:D17),IF('Control Panel'!$B$5="Base",AVERAGE(E17:F17),AVERAGE(G17:H17)))</f>
        <v/>
      </c>
      <c r="J17" s="2" t="inlineStr">
        <is>
          <t>No — Gate 12</t>
        </is>
      </c>
    </row>
    <row r="18">
      <c r="A18" s="9" t="inlineStr">
        <is>
          <t>Depreciation ($B)</t>
        </is>
      </c>
      <c r="B18" s="9" t="inlineStr">
        <is>
          <t>FY27</t>
        </is>
      </c>
      <c r="C18" s="16" t="n">
        <v>13</v>
      </c>
      <c r="D18" s="16" t="n">
        <v>15</v>
      </c>
      <c r="E18" s="16" t="n">
        <v>15</v>
      </c>
      <c r="F18" s="16" t="n">
        <v>17</v>
      </c>
      <c r="G18" s="16" t="n">
        <v>17</v>
      </c>
      <c r="H18" s="16" t="n">
        <v>20</v>
      </c>
      <c r="I18" s="17">
        <f>IF('Control Panel'!$B$5="Bear",AVERAGE(C18:D18),IF('Control Panel'!$B$5="Base",AVERAGE(E18:F18),AVERAGE(G18:H18)))</f>
        <v/>
      </c>
      <c r="J18" s="2" t="inlineStr">
        <is>
          <t>No — Gate 12</t>
        </is>
      </c>
    </row>
    <row r="19">
      <c r="A19" s="9" t="inlineStr">
        <is>
          <t>Depreciation ($B)</t>
        </is>
      </c>
      <c r="B19" s="9" t="inlineStr">
        <is>
          <t>FY28</t>
        </is>
      </c>
      <c r="C19" s="16" t="n">
        <v>23</v>
      </c>
      <c r="D19" s="16" t="n">
        <v>29</v>
      </c>
      <c r="E19" s="16" t="n">
        <v>28</v>
      </c>
      <c r="F19" s="16" t="n">
        <v>34</v>
      </c>
      <c r="G19" s="16" t="n">
        <v>32</v>
      </c>
      <c r="H19" s="16" t="n">
        <v>40</v>
      </c>
      <c r="I19" s="17">
        <f>IF('Control Panel'!$B$5="Bear",AVERAGE(C19:D19),IF('Control Panel'!$B$5="Base",AVERAGE(E19:F19),AVERAGE(G19:H19)))</f>
        <v/>
      </c>
      <c r="J19" s="2" t="inlineStr">
        <is>
          <t>No — Gate 12</t>
        </is>
      </c>
    </row>
    <row r="20">
      <c r="A20" s="9" t="inlineStr">
        <is>
          <t>Interest expense ($B)</t>
        </is>
      </c>
      <c r="B20" s="9" t="inlineStr">
        <is>
          <t>FY27</t>
        </is>
      </c>
      <c r="C20" s="16" t="n">
        <v>7</v>
      </c>
      <c r="D20" s="16" t="n">
        <v>8</v>
      </c>
      <c r="E20" s="16" t="n">
        <v>6</v>
      </c>
      <c r="F20" s="16" t="n">
        <v>7</v>
      </c>
      <c r="G20" s="16" t="n">
        <v>5.5</v>
      </c>
      <c r="H20" s="16" t="n">
        <v>6.5</v>
      </c>
      <c r="I20" s="17">
        <f>IF('Control Panel'!$B$5="Bear",AVERAGE(C20:D20),IF('Control Panel'!$B$5="Base",AVERAGE(E20:F20),AVERAGE(G20:H20)))</f>
        <v/>
      </c>
      <c r="J20" s="2" t="inlineStr">
        <is>
          <t>No — Gate 12</t>
        </is>
      </c>
    </row>
    <row r="21">
      <c r="A21" s="9" t="inlineStr">
        <is>
          <t>Interest expense ($B)</t>
        </is>
      </c>
      <c r="B21" s="9" t="inlineStr">
        <is>
          <t>FY28</t>
        </is>
      </c>
      <c r="C21" s="16" t="n">
        <v>8</v>
      </c>
      <c r="D21" s="16" t="n">
        <v>9.5</v>
      </c>
      <c r="E21" s="16" t="n">
        <v>7</v>
      </c>
      <c r="F21" s="16" t="n">
        <v>8.5</v>
      </c>
      <c r="G21" s="16" t="n">
        <v>6</v>
      </c>
      <c r="H21" s="16" t="n">
        <v>7.5</v>
      </c>
      <c r="I21" s="17">
        <f>IF('Control Panel'!$B$5="Bear",AVERAGE(C21:D21),IF('Control Panel'!$B$5="Base",AVERAGE(E21:F21),AVERAGE(G21:H21)))</f>
        <v/>
      </c>
      <c r="J21" s="2" t="inlineStr">
        <is>
          <t>No — Gate 12</t>
        </is>
      </c>
    </row>
    <row r="22">
      <c r="A22" s="9" t="inlineStr">
        <is>
          <t>Ending gross debt ($B)</t>
        </is>
      </c>
      <c r="B22" s="9" t="inlineStr">
        <is>
          <t>FY27</t>
        </is>
      </c>
      <c r="C22" s="16" t="n">
        <v>155</v>
      </c>
      <c r="D22" s="16" t="n">
        <v>165</v>
      </c>
      <c r="E22" s="16" t="n">
        <v>145</v>
      </c>
      <c r="F22" s="16" t="n">
        <v>153</v>
      </c>
      <c r="G22" s="16" t="n">
        <v>138</v>
      </c>
      <c r="H22" s="16" t="n">
        <v>148</v>
      </c>
      <c r="I22" s="17">
        <f>IF('Control Panel'!$B$5="Bear",AVERAGE(C22:D22),IF('Control Panel'!$B$5="Base",AVERAGE(E22:F22),AVERAGE(G22:H22)))</f>
        <v/>
      </c>
      <c r="J22" s="2" t="inlineStr">
        <is>
          <t>No — Gate 12</t>
        </is>
      </c>
    </row>
    <row r="23">
      <c r="A23" s="9" t="inlineStr">
        <is>
          <t>Ending gross debt ($B)</t>
        </is>
      </c>
      <c r="B23" s="9" t="inlineStr">
        <is>
          <t>FY28</t>
        </is>
      </c>
      <c r="C23" s="16" t="n">
        <v>175</v>
      </c>
      <c r="D23" s="16" t="n">
        <v>195</v>
      </c>
      <c r="E23" s="16" t="n">
        <v>155</v>
      </c>
      <c r="F23" s="16" t="n">
        <v>175</v>
      </c>
      <c r="G23" s="16" t="n">
        <v>140</v>
      </c>
      <c r="H23" s="16" t="n">
        <v>160</v>
      </c>
      <c r="I23" s="17">
        <f>IF('Control Panel'!$B$5="Bear",AVERAGE(C23:D23),IF('Control Panel'!$B$5="Base",AVERAGE(E23:F23),AVERAGE(G23:H23)))</f>
        <v/>
      </c>
      <c r="J23" s="2" t="inlineStr">
        <is>
          <t>No — Gate 12</t>
        </is>
      </c>
    </row>
    <row r="24">
      <c r="A24" s="9" t="inlineStr">
        <is>
          <t>Ending cash ($B)</t>
        </is>
      </c>
      <c r="B24" s="9" t="inlineStr">
        <is>
          <t>FY27</t>
        </is>
      </c>
      <c r="C24" s="16" t="n">
        <v>12</v>
      </c>
      <c r="D24" s="16" t="n">
        <v>20</v>
      </c>
      <c r="E24" s="16" t="n">
        <v>20</v>
      </c>
      <c r="F24" s="16" t="n">
        <v>28</v>
      </c>
      <c r="G24" s="16" t="n">
        <v>28</v>
      </c>
      <c r="H24" s="16" t="n">
        <v>38</v>
      </c>
      <c r="I24" s="17">
        <f>IF('Control Panel'!$B$5="Bear",AVERAGE(C24:D24),IF('Control Panel'!$B$5="Base",AVERAGE(E24:F24),AVERAGE(G24:H24)))</f>
        <v/>
      </c>
      <c r="J24" s="2" t="inlineStr">
        <is>
          <t>No — Gate 12</t>
        </is>
      </c>
    </row>
    <row r="25">
      <c r="A25" s="9" t="inlineStr">
        <is>
          <t>Ending cash ($B)</t>
        </is>
      </c>
      <c r="B25" s="9" t="inlineStr">
        <is>
          <t>FY28</t>
        </is>
      </c>
      <c r="C25" s="16" t="n">
        <v>10</v>
      </c>
      <c r="D25" s="16" t="n">
        <v>18</v>
      </c>
      <c r="E25" s="16" t="n">
        <v>18</v>
      </c>
      <c r="F25" s="16" t="n">
        <v>28</v>
      </c>
      <c r="G25" s="16" t="n">
        <v>30</v>
      </c>
      <c r="H25" s="16" t="n">
        <v>45</v>
      </c>
      <c r="I25" s="17">
        <f>IF('Control Panel'!$B$5="Bear",AVERAGE(C25:D25),IF('Control Panel'!$B$5="Base",AVERAGE(E25:F25),AVERAGE(G25:H25)))</f>
        <v/>
      </c>
      <c r="J25" s="2" t="inlineStr">
        <is>
          <t>No — Gate 12</t>
        </is>
      </c>
    </row>
    <row r="26">
      <c r="A26" s="9" t="inlineStr">
        <is>
          <t>Diluted shares (B)</t>
        </is>
      </c>
      <c r="B26" s="9" t="inlineStr">
        <is>
          <t>FY27</t>
        </is>
      </c>
      <c r="C26" s="16" t="n">
        <v>3.1</v>
      </c>
      <c r="D26" s="16" t="n">
        <v>3.17</v>
      </c>
      <c r="E26" s="16" t="n">
        <v>3.03</v>
      </c>
      <c r="F26" s="16" t="n">
        <v>3.1</v>
      </c>
      <c r="G26" s="16" t="n">
        <v>2.98</v>
      </c>
      <c r="H26" s="16" t="n">
        <v>3.06</v>
      </c>
      <c r="I26" s="17">
        <f>IF('Control Panel'!$B$5="Bear",AVERAGE(C26:D26),IF('Control Panel'!$B$5="Base",AVERAGE(E26:F26),AVERAGE(G26:H26)))</f>
        <v/>
      </c>
      <c r="J26" s="2" t="inlineStr">
        <is>
          <t>No — Gate 12</t>
        </is>
      </c>
    </row>
    <row r="27">
      <c r="A27" s="9" t="inlineStr">
        <is>
          <t>Diluted shares (B)</t>
        </is>
      </c>
      <c r="B27" s="9" t="inlineStr">
        <is>
          <t>FY28</t>
        </is>
      </c>
      <c r="C27" s="16" t="n">
        <v>3.18</v>
      </c>
      <c r="D27" s="16" t="n">
        <v>3.28</v>
      </c>
      <c r="E27" s="16" t="n">
        <v>3.11</v>
      </c>
      <c r="F27" s="16" t="n">
        <v>3.2</v>
      </c>
      <c r="G27" s="16" t="n">
        <v>3.04</v>
      </c>
      <c r="H27" s="16" t="n">
        <v>3.13</v>
      </c>
      <c r="I27" s="17">
        <f>IF('Control Panel'!$B$5="Bear",AVERAGE(C27:D27),IF('Control Panel'!$B$5="Base",AVERAGE(E27:F27),AVERAGE(G27:H27)))</f>
        <v/>
      </c>
      <c r="J27" s="2" t="inlineStr">
        <is>
          <t>No — Gate 12</t>
        </is>
      </c>
    </row>
  </sheetData>
  <mergeCells count="1"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4" customWidth="1" min="10" max="10"/>
    <col width="11" customWidth="1" min="11" max="11"/>
    <col width="11" customWidth="1" min="12" max="12"/>
  </cols>
  <sheetData>
    <row r="1">
      <c r="A1" s="1" t="inlineStr">
        <is>
          <t>Revenue Forecast — FY2027 Q1 through FY2028 Q4</t>
        </is>
      </c>
    </row>
    <row r="2" ht="60" customHeight="1">
      <c r="A2" s="7" t="inlineStr">
        <is>
          <t>Scenario-switched: OCI and Applications growth pull the 'Selected' scenario value from the Scenario Assumptions tab (Control Panel drives which scenario). Support/License/Hardware/Services are NOT part of D-020's ratified ranges - held at their own trailing FY26 actual growth rate (same rate FY27 and FY28) per Gate 7 Sec 3's disposition; Gate 12 should refine these once a ratified range exists. Quarterly seasonality uses FY26 empirical quarter-shares for every stream, including OCI - this is a simplification pending D-019's capacity index (Gate 12); OCI's seasonality should eventually be capacity-timing-driven, not historical-share-driven (architecture Sec 13).</t>
        </is>
      </c>
    </row>
    <row r="4">
      <c r="A4" s="8" t="inlineStr">
        <is>
          <t>Field (USD $mm)</t>
        </is>
      </c>
      <c r="B4" s="8" t="inlineStr">
        <is>
          <t>FY27_Q1</t>
        </is>
      </c>
      <c r="C4" s="8" t="inlineStr">
        <is>
          <t>FY27_Q2</t>
        </is>
      </c>
      <c r="D4" s="8" t="inlineStr">
        <is>
          <t>FY27_Q3</t>
        </is>
      </c>
      <c r="E4" s="8" t="inlineStr">
        <is>
          <t>FY27_Q4</t>
        </is>
      </c>
      <c r="F4" s="8" t="inlineStr">
        <is>
          <t>FY28_Q1</t>
        </is>
      </c>
      <c r="G4" s="8" t="inlineStr">
        <is>
          <t>FY28_Q2</t>
        </is>
      </c>
      <c r="H4" s="8" t="inlineStr">
        <is>
          <t>FY28_Q3</t>
        </is>
      </c>
      <c r="I4" s="8" t="inlineStr">
        <is>
          <t>FY28_Q4</t>
        </is>
      </c>
      <c r="J4" s="8" t="inlineStr"/>
      <c r="K4" s="8" t="inlineStr">
        <is>
          <t>FY2027</t>
        </is>
      </c>
      <c r="L4" s="8" t="inlineStr">
        <is>
          <t>FY2028</t>
        </is>
      </c>
    </row>
    <row r="6">
      <c r="A6" s="3" t="inlineStr">
        <is>
          <t>Growth rate inputs (FY27 / FY28), for traceability</t>
        </is>
      </c>
    </row>
    <row r="7">
      <c r="A7" s="9" t="inlineStr">
        <is>
          <t>OCI revenue — FY27 growth rate</t>
        </is>
      </c>
      <c r="B7" s="18">
        <f>'Scenario Assumptions'!I5</f>
        <v/>
      </c>
    </row>
    <row r="8">
      <c r="A8" s="9" t="inlineStr">
        <is>
          <t>OCI revenue — FY28 growth rate</t>
        </is>
      </c>
      <c r="B8" s="18">
        <f>'Scenario Assumptions'!I6</f>
        <v/>
      </c>
    </row>
    <row r="9">
      <c r="A9" s="9" t="inlineStr">
        <is>
          <t>Cloud applications revenue — FY27 growth rate</t>
        </is>
      </c>
      <c r="B9" s="18">
        <f>'Scenario Assumptions'!I7</f>
        <v/>
      </c>
    </row>
    <row r="10">
      <c r="A10" s="9" t="inlineStr">
        <is>
          <t>Cloud applications revenue — FY28 growth rate</t>
        </is>
      </c>
      <c r="B10" s="18">
        <f>'Scenario Assumptions'!I8</f>
        <v/>
      </c>
    </row>
    <row r="11">
      <c r="A11" s="9" t="inlineStr">
        <is>
          <t>Software support revenue — FY27 growth rate</t>
        </is>
      </c>
      <c r="B11" s="14" t="n">
        <v>0.014445</v>
      </c>
    </row>
    <row r="12">
      <c r="A12" s="9" t="inlineStr">
        <is>
          <t>Software support revenue — FY28 growth rate</t>
        </is>
      </c>
      <c r="B12" s="14" t="n">
        <v>0.014445</v>
      </c>
    </row>
    <row r="13">
      <c r="A13" s="9" t="inlineStr">
        <is>
          <t>Software license revenue — FY27 growth rate</t>
        </is>
      </c>
      <c r="B13" s="14" t="n">
        <v>-0.089406</v>
      </c>
    </row>
    <row r="14">
      <c r="A14" s="9" t="inlineStr">
        <is>
          <t>Software license revenue — FY28 growth rate</t>
        </is>
      </c>
      <c r="B14" s="14" t="n">
        <v>-0.089406</v>
      </c>
    </row>
    <row r="15">
      <c r="A15" s="9" t="inlineStr">
        <is>
          <t>Hardware revenue — FY27 growth rate</t>
        </is>
      </c>
      <c r="B15" s="14" t="n">
        <v>0.050409</v>
      </c>
    </row>
    <row r="16">
      <c r="A16" s="9" t="inlineStr">
        <is>
          <t>Hardware revenue — FY28 growth rate</t>
        </is>
      </c>
      <c r="B16" s="14" t="n">
        <v>0.050409</v>
      </c>
    </row>
    <row r="17">
      <c r="A17" s="9" t="inlineStr">
        <is>
          <t>Services revenue — FY27 growth rate</t>
        </is>
      </c>
      <c r="B17" s="14" t="n">
        <v>0.097668</v>
      </c>
    </row>
    <row r="18">
      <c r="A18" s="9" t="inlineStr">
        <is>
          <t>Services revenue — FY28 growth rate</t>
        </is>
      </c>
      <c r="B18" s="14" t="n">
        <v>0.097668</v>
      </c>
    </row>
    <row r="20">
      <c r="A20" s="3" t="inlineStr">
        <is>
          <t>Quarterly seasonality shares (FY26 actual, held flat for FY27 &amp; FY28)</t>
        </is>
      </c>
    </row>
    <row r="21">
      <c r="A21" s="9" t="inlineStr">
        <is>
          <t>OCI revenue — quarter share of FY</t>
        </is>
      </c>
      <c r="B21" s="14" t="n">
        <v>0.185</v>
      </c>
      <c r="C21" s="14" t="n">
        <v>0.225</v>
      </c>
      <c r="D21" s="14" t="n">
        <v>0.27</v>
      </c>
      <c r="E21" s="14" t="n">
        <v>0.32</v>
      </c>
      <c r="F21" s="14" t="n">
        <v>0.185</v>
      </c>
      <c r="G21" s="14" t="n">
        <v>0.225</v>
      </c>
      <c r="H21" s="14" t="n">
        <v>0.27</v>
      </c>
      <c r="I21" s="14" t="n">
        <v>0.32</v>
      </c>
    </row>
    <row r="22">
      <c r="A22" s="9" t="inlineStr">
        <is>
          <t>Cloud applications revenue — quarter share of FY</t>
        </is>
      </c>
      <c r="B22" s="14" t="n">
        <v>0.242</v>
      </c>
      <c r="C22" s="14" t="n">
        <v>0.245</v>
      </c>
      <c r="D22" s="14" t="n">
        <v>0.253</v>
      </c>
      <c r="E22" s="14" t="n">
        <v>0.26</v>
      </c>
      <c r="F22" s="14" t="n">
        <v>0.242</v>
      </c>
      <c r="G22" s="14" t="n">
        <v>0.245</v>
      </c>
      <c r="H22" s="14" t="n">
        <v>0.253</v>
      </c>
      <c r="I22" s="14" t="n">
        <v>0.26</v>
      </c>
    </row>
    <row r="23">
      <c r="A23" s="9" t="inlineStr">
        <is>
          <t>Software support revenue — quarter share of FY</t>
        </is>
      </c>
      <c r="B23" s="14" t="n">
        <v>0.25</v>
      </c>
      <c r="C23" s="14" t="n">
        <v>0.249</v>
      </c>
      <c r="D23" s="14" t="n">
        <v>0.251</v>
      </c>
      <c r="E23" s="14" t="n">
        <v>0.25</v>
      </c>
      <c r="F23" s="14" t="n">
        <v>0.25</v>
      </c>
      <c r="G23" s="14" t="n">
        <v>0.249</v>
      </c>
      <c r="H23" s="14" t="n">
        <v>0.251</v>
      </c>
      <c r="I23" s="14" t="n">
        <v>0.25</v>
      </c>
    </row>
    <row r="24">
      <c r="A24" s="9" t="inlineStr">
        <is>
          <t>Software license revenue — quarter share of FY</t>
        </is>
      </c>
      <c r="B24" s="14" t="n">
        <v>0.162</v>
      </c>
      <c r="C24" s="14" t="n">
        <v>0.198</v>
      </c>
      <c r="D24" s="14" t="n">
        <v>0.243</v>
      </c>
      <c r="E24" s="14" t="n">
        <v>0.397</v>
      </c>
      <c r="F24" s="14" t="n">
        <v>0.162</v>
      </c>
      <c r="G24" s="14" t="n">
        <v>0.198</v>
      </c>
      <c r="H24" s="14" t="n">
        <v>0.243</v>
      </c>
      <c r="I24" s="14" t="n">
        <v>0.397</v>
      </c>
    </row>
    <row r="25">
      <c r="A25" s="9" t="inlineStr">
        <is>
          <t>Hardware revenue — quarter share of FY</t>
        </is>
      </c>
      <c r="B25" s="14" t="n">
        <v>0.217</v>
      </c>
      <c r="C25" s="14" t="n">
        <v>0.252</v>
      </c>
      <c r="D25" s="14" t="n">
        <v>0.232</v>
      </c>
      <c r="E25" s="14" t="n">
        <v>0.3</v>
      </c>
      <c r="F25" s="14" t="n">
        <v>0.217</v>
      </c>
      <c r="G25" s="14" t="n">
        <v>0.252</v>
      </c>
      <c r="H25" s="14" t="n">
        <v>0.232</v>
      </c>
      <c r="I25" s="14" t="n">
        <v>0.3</v>
      </c>
    </row>
    <row r="26">
      <c r="A26" s="9" t="inlineStr">
        <is>
          <t>Services revenue — quarter share of FY</t>
        </is>
      </c>
      <c r="B26" s="14" t="n">
        <v>0.235</v>
      </c>
      <c r="C26" s="14" t="n">
        <v>0.249</v>
      </c>
      <c r="D26" s="14" t="n">
        <v>0.251</v>
      </c>
      <c r="E26" s="14" t="n">
        <v>0.265</v>
      </c>
      <c r="F26" s="14" t="n">
        <v>0.235</v>
      </c>
      <c r="G26" s="14" t="n">
        <v>0.249</v>
      </c>
      <c r="H26" s="14" t="n">
        <v>0.251</v>
      </c>
      <c r="I26" s="14" t="n">
        <v>0.265</v>
      </c>
    </row>
    <row r="28">
      <c r="A28" s="3" t="inlineStr">
        <is>
          <t>Forecast revenue by stream</t>
        </is>
      </c>
    </row>
    <row r="29">
      <c r="A29" s="9" t="inlineStr">
        <is>
          <t>OCI revenue</t>
        </is>
      </c>
      <c r="B29" s="11">
        <f>$K$29*B21</f>
        <v/>
      </c>
      <c r="C29" s="11">
        <f>$K$29*C21</f>
        <v/>
      </c>
      <c r="D29" s="11">
        <f>$K$29*D21</f>
        <v/>
      </c>
      <c r="E29" s="11">
        <f>$K$29*E21</f>
        <v/>
      </c>
      <c r="F29" s="11">
        <f>$L$29*F21</f>
        <v/>
      </c>
      <c r="G29" s="11">
        <f>$L$29*G21</f>
        <v/>
      </c>
      <c r="H29" s="11">
        <f>$L$29*H21</f>
        <v/>
      </c>
      <c r="I29" s="11">
        <f>$L$29*I21</f>
        <v/>
      </c>
      <c r="K29" s="11">
        <f>'Historical Actuals'!$L$5*(1+B7)</f>
        <v/>
      </c>
      <c r="L29" s="11">
        <f>K29*(1+B8)</f>
        <v/>
      </c>
    </row>
    <row r="30">
      <c r="A30" s="9" t="inlineStr">
        <is>
          <t>Cloud applications revenue</t>
        </is>
      </c>
      <c r="B30" s="11">
        <f>$K$30*B22</f>
        <v/>
      </c>
      <c r="C30" s="11">
        <f>$K$30*C22</f>
        <v/>
      </c>
      <c r="D30" s="11">
        <f>$K$30*D22</f>
        <v/>
      </c>
      <c r="E30" s="11">
        <f>$K$30*E22</f>
        <v/>
      </c>
      <c r="F30" s="11">
        <f>$L$30*F22</f>
        <v/>
      </c>
      <c r="G30" s="11">
        <f>$L$30*G22</f>
        <v/>
      </c>
      <c r="H30" s="11">
        <f>$L$30*H22</f>
        <v/>
      </c>
      <c r="I30" s="11">
        <f>$L$30*I22</f>
        <v/>
      </c>
      <c r="K30" s="11">
        <f>'Historical Actuals'!$L$6*(1+B9)</f>
        <v/>
      </c>
      <c r="L30" s="11">
        <f>K30*(1+B10)</f>
        <v/>
      </c>
    </row>
    <row r="31">
      <c r="A31" s="9" t="inlineStr">
        <is>
          <t>Software support revenue</t>
        </is>
      </c>
      <c r="B31" s="11">
        <f>$K$31*B23</f>
        <v/>
      </c>
      <c r="C31" s="11">
        <f>$K$31*C23</f>
        <v/>
      </c>
      <c r="D31" s="11">
        <f>$K$31*D23</f>
        <v/>
      </c>
      <c r="E31" s="11">
        <f>$K$31*E23</f>
        <v/>
      </c>
      <c r="F31" s="11">
        <f>$L$31*F23</f>
        <v/>
      </c>
      <c r="G31" s="11">
        <f>$L$31*G23</f>
        <v/>
      </c>
      <c r="H31" s="11">
        <f>$L$31*H23</f>
        <v/>
      </c>
      <c r="I31" s="11">
        <f>$L$31*I23</f>
        <v/>
      </c>
      <c r="K31" s="11">
        <f>'Historical Actuals'!$L$7*(1+B11)</f>
        <v/>
      </c>
      <c r="L31" s="11">
        <f>K31*(1+B12)</f>
        <v/>
      </c>
    </row>
    <row r="32">
      <c r="A32" s="9" t="inlineStr">
        <is>
          <t>Software license revenue</t>
        </is>
      </c>
      <c r="B32" s="11">
        <f>$K$32*B24</f>
        <v/>
      </c>
      <c r="C32" s="11">
        <f>$K$32*C24</f>
        <v/>
      </c>
      <c r="D32" s="11">
        <f>$K$32*D24</f>
        <v/>
      </c>
      <c r="E32" s="11">
        <f>$K$32*E24</f>
        <v/>
      </c>
      <c r="F32" s="11">
        <f>$L$32*F24</f>
        <v/>
      </c>
      <c r="G32" s="11">
        <f>$L$32*G24</f>
        <v/>
      </c>
      <c r="H32" s="11">
        <f>$L$32*H24</f>
        <v/>
      </c>
      <c r="I32" s="11">
        <f>$L$32*I24</f>
        <v/>
      </c>
      <c r="K32" s="11">
        <f>'Historical Actuals'!$L$8*(1+B13)</f>
        <v/>
      </c>
      <c r="L32" s="11">
        <f>K32*(1+B14)</f>
        <v/>
      </c>
    </row>
    <row r="33">
      <c r="A33" s="9" t="inlineStr">
        <is>
          <t>Hardware revenue</t>
        </is>
      </c>
      <c r="B33" s="11">
        <f>$K$33*B25</f>
        <v/>
      </c>
      <c r="C33" s="11">
        <f>$K$33*C25</f>
        <v/>
      </c>
      <c r="D33" s="11">
        <f>$K$33*D25</f>
        <v/>
      </c>
      <c r="E33" s="11">
        <f>$K$33*E25</f>
        <v/>
      </c>
      <c r="F33" s="11">
        <f>$L$33*F25</f>
        <v/>
      </c>
      <c r="G33" s="11">
        <f>$L$33*G25</f>
        <v/>
      </c>
      <c r="H33" s="11">
        <f>$L$33*H25</f>
        <v/>
      </c>
      <c r="I33" s="11">
        <f>$L$33*I25</f>
        <v/>
      </c>
      <c r="K33" s="11">
        <f>'Historical Actuals'!$L$9*(1+B15)</f>
        <v/>
      </c>
      <c r="L33" s="11">
        <f>K33*(1+B16)</f>
        <v/>
      </c>
    </row>
    <row r="34">
      <c r="A34" s="9" t="inlineStr">
        <is>
          <t>Services revenue</t>
        </is>
      </c>
      <c r="B34" s="11">
        <f>$K$34*B26</f>
        <v/>
      </c>
      <c r="C34" s="11">
        <f>$K$34*C26</f>
        <v/>
      </c>
      <c r="D34" s="11">
        <f>$K$34*D26</f>
        <v/>
      </c>
      <c r="E34" s="11">
        <f>$K$34*E26</f>
        <v/>
      </c>
      <c r="F34" s="11">
        <f>$L$34*F26</f>
        <v/>
      </c>
      <c r="G34" s="11">
        <f>$L$34*G26</f>
        <v/>
      </c>
      <c r="H34" s="11">
        <f>$L$34*H26</f>
        <v/>
      </c>
      <c r="I34" s="11">
        <f>$L$34*I26</f>
        <v/>
      </c>
      <c r="K34" s="11">
        <f>'Historical Actuals'!$L$10*(1+B17)</f>
        <v/>
      </c>
      <c r="L34" s="11">
        <f>K34*(1+B18)</f>
        <v/>
      </c>
    </row>
    <row r="35">
      <c r="A35" s="4" t="inlineStr">
        <is>
          <t>Total revenue (sum of six streams)</t>
        </is>
      </c>
      <c r="B35" s="12">
        <f>SUM(B29:B34)</f>
        <v/>
      </c>
      <c r="C35" s="12">
        <f>SUM(C29:C34)</f>
        <v/>
      </c>
      <c r="D35" s="12">
        <f>SUM(D29:D34)</f>
        <v/>
      </c>
      <c r="E35" s="12">
        <f>SUM(E29:E34)</f>
        <v/>
      </c>
      <c r="F35" s="12">
        <f>SUM(F29:F34)</f>
        <v/>
      </c>
      <c r="G35" s="12">
        <f>SUM(G29:G34)</f>
        <v/>
      </c>
      <c r="H35" s="12">
        <f>SUM(H29:H34)</f>
        <v/>
      </c>
      <c r="I35" s="12">
        <f>SUM(I29:I34)</f>
        <v/>
      </c>
      <c r="K35" s="12">
        <f>SUM(K29:K34)</f>
        <v/>
      </c>
      <c r="L35" s="12">
        <f>SUM(L29:L34)</f>
        <v/>
      </c>
    </row>
    <row r="37">
      <c r="A37" s="19" t="inlineStr">
        <is>
          <t>Cross-check: Framework total-revenue Selected midpoint ($B)</t>
        </is>
      </c>
      <c r="K37" s="20">
        <f>'Scenario Assumptions'!I9*1000</f>
        <v/>
      </c>
      <c r="L37" s="20">
        <f>'Scenario Assumptions'!I10*1000</f>
        <v/>
      </c>
    </row>
    <row r="38">
      <c r="A38" s="19" t="inlineStr">
        <is>
          <t>Bottom-up build vs. Framework cross-check, variance ($mm)</t>
        </is>
      </c>
      <c r="K38" s="21">
        <f>K35-K37</f>
        <v/>
      </c>
      <c r="L38" s="21">
        <f>L35-L37</f>
        <v/>
      </c>
    </row>
  </sheetData>
  <mergeCells count="1">
    <mergeCell ref="A2:K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4" customWidth="1" min="10" max="10"/>
    <col width="11" customWidth="1" min="11" max="11"/>
    <col width="11" customWidth="1" min="12" max="12"/>
  </cols>
  <sheetData>
    <row r="1">
      <c r="A1" s="1" t="inlineStr">
        <is>
          <t>Capex &amp; Depreciation — FY2027 Q1 through FY2028 Q4</t>
        </is>
      </c>
    </row>
    <row r="2" ht="60" customHeight="1">
      <c r="A2" s="7" t="inlineStr">
        <is>
          <t>Gross/net cash capex and total PP&amp;E depreciation pull the D-020 scenario-selected midpoints. Amortization of intangibles has no ratified scenario range - held at the trailing FY26 actual level (flat), per the same treatment Gate 10 gave unratified lines. Quarterly spread for depreciation reuses the empirical FY26 quarter-shares (depreciation accelerated through FY26 as the buildout ramped - a real, not fabricated, shape); amortization is spread evenly (FY26's own quarters were nearly flat, ~25% each).</t>
        </is>
      </c>
    </row>
    <row r="4">
      <c r="A4" s="23" t="inlineStr">
        <is>
          <t>Field ($mm unless noted)</t>
        </is>
      </c>
      <c r="B4" s="23" t="inlineStr">
        <is>
          <t>FY27_Q1</t>
        </is>
      </c>
      <c r="C4" s="23" t="inlineStr">
        <is>
          <t>FY27_Q2</t>
        </is>
      </c>
      <c r="D4" s="23" t="inlineStr">
        <is>
          <t>FY27_Q3</t>
        </is>
      </c>
      <c r="E4" s="23" t="inlineStr">
        <is>
          <t>FY27_Q4</t>
        </is>
      </c>
      <c r="F4" s="23" t="inlineStr">
        <is>
          <t>FY28_Q1</t>
        </is>
      </c>
      <c r="G4" s="23" t="inlineStr">
        <is>
          <t>FY28_Q2</t>
        </is>
      </c>
      <c r="H4" s="23" t="inlineStr">
        <is>
          <t>FY28_Q3</t>
        </is>
      </c>
      <c r="I4" s="23" t="inlineStr">
        <is>
          <t>FY28_Q4</t>
        </is>
      </c>
      <c r="J4" s="23" t="inlineStr"/>
      <c r="K4" s="23" t="inlineStr">
        <is>
          <t>FY2027</t>
        </is>
      </c>
      <c r="L4" s="23" t="inlineStr">
        <is>
          <t>FY2028</t>
        </is>
      </c>
    </row>
    <row r="5">
      <c r="A5" s="9" t="inlineStr">
        <is>
          <t>Gross reported capex, annual</t>
        </is>
      </c>
      <c r="K5" s="20">
        <f>'Scenario Assumptions'!I15*1000</f>
        <v/>
      </c>
      <c r="L5" s="20">
        <f>'Scenario Assumptions'!I16*1000</f>
        <v/>
      </c>
    </row>
    <row r="6">
      <c r="A6" s="9" t="inlineStr">
        <is>
          <t>Net cash capex, annual (FY27 ratified only; FY28 uses gross capex as a proxy - no ratified FY28 net-cash figure)</t>
        </is>
      </c>
      <c r="K6" s="20">
        <f>'Scenario Assumptions'!I17*1000</f>
        <v/>
      </c>
      <c r="L6" s="11">
        <f>L5</f>
        <v/>
      </c>
    </row>
    <row r="8">
      <c r="A8" s="9" t="inlineStr">
        <is>
          <t>Depreciation (PP&amp;E), annual — scenario-selected (D-020)</t>
        </is>
      </c>
      <c r="K8" s="20">
        <f>'Scenario Assumptions'!I18*1000</f>
        <v/>
      </c>
      <c r="L8" s="20">
        <f>'Scenario Assumptions'!I19*1000</f>
        <v/>
      </c>
    </row>
    <row r="9">
      <c r="A9" s="9" t="inlineStr">
        <is>
          <t>Depreciation — quarterly seasonality share (FY26 actual, held flat)</t>
        </is>
      </c>
      <c r="B9" s="14" t="n">
        <v>0.177227</v>
      </c>
      <c r="C9" s="14" t="n">
        <v>0.223534</v>
      </c>
      <c r="D9" s="14" t="n">
        <v>0.282435</v>
      </c>
      <c r="E9" s="14" t="n">
        <v>0.316804</v>
      </c>
      <c r="F9" s="14" t="n">
        <v>0.177227</v>
      </c>
      <c r="G9" s="14" t="n">
        <v>0.223534</v>
      </c>
      <c r="H9" s="14" t="n">
        <v>0.282435</v>
      </c>
      <c r="I9" s="14" t="n">
        <v>0.316804</v>
      </c>
    </row>
    <row r="10">
      <c r="A10" s="9" t="inlineStr">
        <is>
          <t>Depreciation (PP&amp;E), quarterly</t>
        </is>
      </c>
      <c r="B10" s="11">
        <f>$K$8*B9</f>
        <v/>
      </c>
      <c r="C10" s="11">
        <f>$K$8*C9</f>
        <v/>
      </c>
      <c r="D10" s="11">
        <f>$K$8*D9</f>
        <v/>
      </c>
      <c r="E10" s="11">
        <f>$K$8*E9</f>
        <v/>
      </c>
      <c r="F10" s="11">
        <f>$L$8*F9</f>
        <v/>
      </c>
      <c r="G10" s="11">
        <f>$L$8*G9</f>
        <v/>
      </c>
      <c r="H10" s="11">
        <f>$L$8*H9</f>
        <v/>
      </c>
      <c r="I10" s="11">
        <f>$L$8*I9</f>
        <v/>
      </c>
    </row>
    <row r="12">
      <c r="A12" s="9" t="inlineStr">
        <is>
          <t>Amortization of intangibles, annual (trailing FY26 actual, held flat — no ratified range)</t>
        </is>
      </c>
      <c r="K12" s="10" t="n">
        <v>1671</v>
      </c>
      <c r="L12" s="10" t="n">
        <v>1671</v>
      </c>
    </row>
    <row r="13">
      <c r="A13" s="9" t="inlineStr">
        <is>
          <t>Amortization, quarterly (even spread — FY26 actual was ~25% each quarter)</t>
        </is>
      </c>
      <c r="B13" s="11">
        <f>$K$12/4</f>
        <v/>
      </c>
      <c r="C13" s="11">
        <f>$K$12/4</f>
        <v/>
      </c>
      <c r="D13" s="11">
        <f>$K$12/4</f>
        <v/>
      </c>
      <c r="E13" s="11">
        <f>$K$12/4</f>
        <v/>
      </c>
      <c r="F13" s="11">
        <f>$L$12/4</f>
        <v/>
      </c>
      <c r="G13" s="11">
        <f>$L$12/4</f>
        <v/>
      </c>
      <c r="H13" s="11">
        <f>$L$12/4</f>
        <v/>
      </c>
      <c r="I13" s="11">
        <f>$L$12/4</f>
        <v/>
      </c>
    </row>
    <row r="15">
      <c r="A15" s="4" t="inlineStr">
        <is>
          <t>Total D&amp;A (Depreciation + Amortization) — feeds Margin &amp; EBITDA per D-014</t>
        </is>
      </c>
      <c r="B15" s="12">
        <f>B10+B13</f>
        <v/>
      </c>
      <c r="C15" s="12">
        <f>C10+C13</f>
        <v/>
      </c>
      <c r="D15" s="12">
        <f>D10+D13</f>
        <v/>
      </c>
      <c r="E15" s="12">
        <f>E10+E13</f>
        <v/>
      </c>
      <c r="F15" s="12">
        <f>F10+F13</f>
        <v/>
      </c>
      <c r="G15" s="12">
        <f>G10+G13</f>
        <v/>
      </c>
      <c r="H15" s="12">
        <f>H10+H13</f>
        <v/>
      </c>
      <c r="I15" s="12">
        <f>I10+I13</f>
        <v/>
      </c>
      <c r="K15" s="12">
        <f>K8+K12</f>
        <v/>
      </c>
      <c r="L15" s="12">
        <f>L8+L12</f>
        <v/>
      </c>
    </row>
  </sheetData>
  <mergeCells count="1">
    <mergeCell ref="A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5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4" customWidth="1" min="10" max="10"/>
    <col width="11" customWidth="1" min="11" max="11"/>
    <col width="11" customWidth="1" min="12" max="12"/>
  </cols>
  <sheetData>
    <row r="1">
      <c r="A1" s="1" t="inlineStr">
        <is>
          <t>Debt, Leases &amp; Cash — FY2027 Q1 through FY2028 Q4</t>
        </is>
      </c>
    </row>
    <row r="2" ht="75" customHeight="1">
      <c r="A2" s="7" t="inlineStr">
        <is>
          <t>Beginning balances anchor to the FY26 Q4 actuals (Gate 6 dataset). Ending gross debt and ending cash pull the D-020 scenario-selected midpoints; quarterly paths are linear interpolations between known endpoints, not a modeled issuance/repayment schedule (no such schedule is disclosed — Gate 7 Sec2 item 22 disposition). Net new debt/financing is shown as an implied plug (Ending − Beginning), not a security-by-security build. Interest expense pulls the scenario-selected annual midpoint, spread evenly by quarter (no disclosed seasonality for interest). Lease commencement schedule spreads the disclosed $260B uncommenced-lease pool (C-06) evenly across the FY2027-FY2029 commencement window stated in the FY26 10-K — a simplification given no finer schedule exists (Gate 7 Sec2 item 16 disposition).</t>
        </is>
      </c>
    </row>
    <row r="4">
      <c r="A4" s="23" t="inlineStr">
        <is>
          <t>Field ($mm)</t>
        </is>
      </c>
      <c r="B4" s="23" t="inlineStr">
        <is>
          <t>FY27_Q1</t>
        </is>
      </c>
      <c r="C4" s="23" t="inlineStr">
        <is>
          <t>FY27_Q2</t>
        </is>
      </c>
      <c r="D4" s="23" t="inlineStr">
        <is>
          <t>FY27_Q3</t>
        </is>
      </c>
      <c r="E4" s="23" t="inlineStr">
        <is>
          <t>FY27_Q4</t>
        </is>
      </c>
      <c r="F4" s="23" t="inlineStr">
        <is>
          <t>FY28_Q1</t>
        </is>
      </c>
      <c r="G4" s="23" t="inlineStr">
        <is>
          <t>FY28_Q2</t>
        </is>
      </c>
      <c r="H4" s="23" t="inlineStr">
        <is>
          <t>FY28_Q3</t>
        </is>
      </c>
      <c r="I4" s="23" t="inlineStr">
        <is>
          <t>FY28_Q4</t>
        </is>
      </c>
      <c r="J4" s="23" t="inlineStr"/>
      <c r="K4" s="23" t="inlineStr">
        <is>
          <t>FY2027</t>
        </is>
      </c>
      <c r="L4" s="23" t="inlineStr">
        <is>
          <t>FY2028</t>
        </is>
      </c>
    </row>
    <row r="5">
      <c r="A5" s="9" t="inlineStr">
        <is>
          <t>Beginning gross debt (FY26 Q4 actual)</t>
        </is>
      </c>
      <c r="B5" s="20">
        <f>'Historical Actuals'!I29</f>
        <v/>
      </c>
    </row>
    <row r="6">
      <c r="A6" s="9" t="inlineStr">
        <is>
          <t>Ending gross debt, annual — scenario-selected (D-020)</t>
        </is>
      </c>
      <c r="K6" s="20">
        <f>'Scenario Assumptions'!I22*1000</f>
        <v/>
      </c>
      <c r="L6" s="20">
        <f>'Scenario Assumptions'!I23*1000</f>
        <v/>
      </c>
    </row>
    <row r="7">
      <c r="A7" s="9" t="inlineStr">
        <is>
          <t>Quarterly gross debt (linear interpolation, beginning to ending)</t>
        </is>
      </c>
      <c r="B7" s="11">
        <f>$B$5+($K$6-$B$5)*1/4</f>
        <v/>
      </c>
      <c r="C7" s="11">
        <f>$B$5+($K$6-$B$5)*2/4</f>
        <v/>
      </c>
      <c r="D7" s="11">
        <f>$B$5+($K$6-$B$5)*3/4</f>
        <v/>
      </c>
      <c r="E7" s="11">
        <f>$B$5+($K$6-$B$5)*4/4</f>
        <v/>
      </c>
      <c r="F7" s="11">
        <f>$K$6+($L$6-$K$6)*1/4</f>
        <v/>
      </c>
      <c r="G7" s="11">
        <f>$K$6+($L$6-$K$6)*2/4</f>
        <v/>
      </c>
      <c r="H7" s="11">
        <f>$K$6+($L$6-$K$6)*3/4</f>
        <v/>
      </c>
      <c r="I7" s="11">
        <f>$K$6+($L$6-$K$6)*4/4</f>
        <v/>
      </c>
      <c r="K7" s="11">
        <f>E7</f>
        <v/>
      </c>
      <c r="L7" s="11">
        <f>I7</f>
        <v/>
      </c>
    </row>
    <row r="8">
      <c r="A8" s="19" t="inlineStr">
        <is>
          <t>Implied net debt issuance/(repayment), annual (plug = Ending − Beginning)</t>
        </is>
      </c>
      <c r="K8" s="21">
        <f>K6-$B$5</f>
        <v/>
      </c>
      <c r="L8" s="21">
        <f>L6-K6</f>
        <v/>
      </c>
    </row>
    <row r="10">
      <c r="A10" s="9" t="inlineStr">
        <is>
          <t>Interest expense, annual — scenario-selected (D-020)</t>
        </is>
      </c>
      <c r="K10" s="20">
        <f>'Scenario Assumptions'!I20*1000</f>
        <v/>
      </c>
      <c r="L10" s="20">
        <f>'Scenario Assumptions'!I21*1000</f>
        <v/>
      </c>
    </row>
    <row r="11">
      <c r="A11" s="9" t="inlineStr">
        <is>
          <t>Interest expense, quarterly (even spread)</t>
        </is>
      </c>
      <c r="B11" s="11">
        <f>$K$10/4</f>
        <v/>
      </c>
      <c r="C11" s="11">
        <f>$K$10/4</f>
        <v/>
      </c>
      <c r="D11" s="11">
        <f>$K$10/4</f>
        <v/>
      </c>
      <c r="E11" s="11">
        <f>$K$10/4</f>
        <v/>
      </c>
      <c r="F11" s="11">
        <f>$L$10/4</f>
        <v/>
      </c>
      <c r="G11" s="11">
        <f>$L$10/4</f>
        <v/>
      </c>
      <c r="H11" s="11">
        <f>$L$10/4</f>
        <v/>
      </c>
      <c r="I11" s="11">
        <f>$L$10/4</f>
        <v/>
      </c>
    </row>
    <row r="13">
      <c r="A13" s="9" t="inlineStr">
        <is>
          <t>On-balance-sheet lease liabilities, beginning (FY26 Q4 actual: current+noncurrent)</t>
        </is>
      </c>
      <c r="B13" s="20">
        <f>'Historical Actuals'!I31+'Historical Actuals'!I32</f>
        <v/>
      </c>
    </row>
    <row r="14">
      <c r="A14" s="9" t="inlineStr">
        <is>
          <t>Uncommenced lease pool (C-06, FY26 10-K: $260B, commencing FY2027-FY2029)</t>
        </is>
      </c>
      <c r="B14" s="10" t="n">
        <v>260000</v>
      </c>
    </row>
    <row r="15">
      <c r="A15" s="9" t="inlineStr">
        <is>
          <t>Lease commencement per fiscal year (pool / 3 years — simplification, no finer schedule disclosed)</t>
        </is>
      </c>
      <c r="K15" s="11">
        <f>$B$14/3</f>
        <v/>
      </c>
      <c r="L15" s="11">
        <f>$B$14/3</f>
        <v/>
      </c>
    </row>
    <row r="16">
      <c r="A16" s="4" t="inlineStr">
        <is>
          <t>On-balance-sheet lease liabilities, ending (cumulative: beginning + commenced-to-date)</t>
        </is>
      </c>
      <c r="K16" s="12">
        <f>$B$13+K15</f>
        <v/>
      </c>
      <c r="L16" s="12">
        <f>K16+L15</f>
        <v/>
      </c>
    </row>
    <row r="18">
      <c r="A18" s="9" t="inlineStr">
        <is>
          <t>Beginning cash (FY26 Q4 actual)</t>
        </is>
      </c>
      <c r="B18" s="20">
        <f>'Historical Actuals'!I30</f>
        <v/>
      </c>
    </row>
    <row r="19">
      <c r="A19" s="9" t="inlineStr">
        <is>
          <t>Ending cash, annual — scenario-selected (D-020)</t>
        </is>
      </c>
      <c r="K19" s="20">
        <f>'Scenario Assumptions'!I24*1000</f>
        <v/>
      </c>
      <c r="L19" s="20">
        <f>'Scenario Assumptions'!I25*1000</f>
        <v/>
      </c>
    </row>
    <row r="20">
      <c r="A20" s="9" t="inlineStr">
        <is>
          <t>Quarterly cash (linear interpolation, beginning to ending)</t>
        </is>
      </c>
      <c r="B20" s="11">
        <f>$B$18+($K$19-$B$18)*1/4</f>
        <v/>
      </c>
      <c r="C20" s="11">
        <f>$B$18+($K$19-$B$18)*2/4</f>
        <v/>
      </c>
      <c r="D20" s="11">
        <f>$B$18+($K$19-$B$18)*3/4</f>
        <v/>
      </c>
      <c r="E20" s="11">
        <f>$B$18+($K$19-$B$18)*4/4</f>
        <v/>
      </c>
      <c r="F20" s="11">
        <f>$K$19+($L$19-$K$19)*1/4</f>
        <v/>
      </c>
      <c r="G20" s="11">
        <f>$K$19+($L$19-$K$19)*2/4</f>
        <v/>
      </c>
      <c r="H20" s="11">
        <f>$K$19+($L$19-$K$19)*3/4</f>
        <v/>
      </c>
      <c r="I20" s="11">
        <f>$K$19+($L$19-$K$19)*4/4</f>
        <v/>
      </c>
      <c r="K20" s="11">
        <f>E20</f>
        <v/>
      </c>
      <c r="L20" s="11">
        <f>I20</f>
        <v/>
      </c>
    </row>
    <row r="22">
      <c r="A22" s="9" t="inlineStr">
        <is>
          <t>Quarterly on-balance-sheet lease liabilities (linear interpolation, beginning to ending)</t>
        </is>
      </c>
      <c r="B22" s="11">
        <f>$B$13+($K$16-$B$13)*1/4</f>
        <v/>
      </c>
      <c r="C22" s="11">
        <f>$B$13+($K$16-$B$13)*2/4</f>
        <v/>
      </c>
      <c r="D22" s="11">
        <f>$B$13+($K$16-$B$13)*3/4</f>
        <v/>
      </c>
      <c r="E22" s="11">
        <f>$B$13+($K$16-$B$13)*4/4</f>
        <v/>
      </c>
      <c r="F22" s="11">
        <f>$K$16+($L$16-$K$16)*1/4</f>
        <v/>
      </c>
      <c r="G22" s="11">
        <f>$K$16+($L$16-$K$16)*2/4</f>
        <v/>
      </c>
      <c r="H22" s="11">
        <f>$K$16+($L$16-$K$16)*3/4</f>
        <v/>
      </c>
      <c r="I22" s="11">
        <f>$K$16+($L$16-$K$16)*4/4</f>
        <v/>
      </c>
      <c r="K22" s="11">
        <f>E22</f>
        <v/>
      </c>
      <c r="L22" s="11">
        <f>I22</f>
        <v/>
      </c>
    </row>
    <row r="24">
      <c r="A24" s="9" t="inlineStr">
        <is>
          <t>Marketable securities (held flat at FY26 Q4 actual — no forecast built, immaterial: $605mm)</t>
        </is>
      </c>
      <c r="B24" s="10" t="n">
        <v>605</v>
      </c>
    </row>
    <row r="25">
      <c r="A25" s="9" t="inlineStr">
        <is>
          <t>Preferred/mandatory convertible carrying value (held flat at FY26 Q4 actual — Q-11 treatment unresolved)</t>
        </is>
      </c>
      <c r="B25" s="10" t="n">
        <v>4954</v>
      </c>
    </row>
  </sheetData>
  <mergeCells count="1">
    <mergeCell ref="A2:K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4" customWidth="1" min="10" max="10"/>
    <col width="11" customWidth="1" min="11" max="11"/>
    <col width="11" customWidth="1" min="12" max="12"/>
  </cols>
  <sheetData>
    <row r="1">
      <c r="A1" s="1" t="inlineStr">
        <is>
          <t>Equity &amp; Diluted Shares — FY2027 Q1 through FY2028 Q4</t>
        </is>
      </c>
    </row>
    <row r="2" ht="45" customHeight="1">
      <c r="A2" s="7" t="inlineStr">
        <is>
          <t>Diluted shares pull the D-020 scenario-selected midpoint directly (in billions, per the ratified table) rather than being re-derived from an assumed ATM issuance price - Gate 7 Sec6 flags ATM price/pace as explicitly reflexive with the (not-yet-computed) valuation output, so backing into shares from a guessed price here would be circular. Quarterly path is a linear interpolation from the FY26 Q4 actual to each ratified annual endpoint.</t>
        </is>
      </c>
    </row>
    <row r="4">
      <c r="A4" s="23" t="inlineStr">
        <is>
          <t>Field</t>
        </is>
      </c>
      <c r="B4" s="23" t="inlineStr">
        <is>
          <t>FY27_Q1</t>
        </is>
      </c>
      <c r="C4" s="23" t="inlineStr">
        <is>
          <t>FY27_Q2</t>
        </is>
      </c>
      <c r="D4" s="23" t="inlineStr">
        <is>
          <t>FY27_Q3</t>
        </is>
      </c>
      <c r="E4" s="23" t="inlineStr">
        <is>
          <t>FY27_Q4</t>
        </is>
      </c>
      <c r="F4" s="23" t="inlineStr">
        <is>
          <t>FY28_Q1</t>
        </is>
      </c>
      <c r="G4" s="23" t="inlineStr">
        <is>
          <t>FY28_Q2</t>
        </is>
      </c>
      <c r="H4" s="23" t="inlineStr">
        <is>
          <t>FY28_Q3</t>
        </is>
      </c>
      <c r="I4" s="23" t="inlineStr">
        <is>
          <t>FY28_Q4</t>
        </is>
      </c>
      <c r="J4" s="23" t="inlineStr"/>
      <c r="K4" s="23" t="inlineStr">
        <is>
          <t>FY2027</t>
        </is>
      </c>
      <c r="L4" s="23" t="inlineStr">
        <is>
          <t>FY2028</t>
        </is>
      </c>
    </row>
    <row r="5">
      <c r="A5" s="9" t="inlineStr">
        <is>
          <t>Beginning diluted shares, mm (FY26 Q4 actual)</t>
        </is>
      </c>
      <c r="B5" s="25">
        <f>'Historical Actuals'!I33</f>
        <v/>
      </c>
    </row>
    <row r="6">
      <c r="A6" s="9" t="inlineStr">
        <is>
          <t>Ending diluted shares, annual, mm — scenario-selected (D-020, x1000 from B)</t>
        </is>
      </c>
      <c r="K6" s="25">
        <f>'Scenario Assumptions'!I26*1000</f>
        <v/>
      </c>
      <c r="L6" s="25">
        <f>'Scenario Assumptions'!I27*1000</f>
        <v/>
      </c>
    </row>
    <row r="7">
      <c r="A7" s="9" t="inlineStr">
        <is>
          <t>Quarterly diluted shares, mm (linear interpolation)</t>
        </is>
      </c>
      <c r="B7" s="26">
        <f>$B$5+($K$6-$B$5)*1/4</f>
        <v/>
      </c>
      <c r="C7" s="26">
        <f>$B$5+($K$6-$B$5)*2/4</f>
        <v/>
      </c>
      <c r="D7" s="26">
        <f>$B$5+($K$6-$B$5)*3/4</f>
        <v/>
      </c>
      <c r="E7" s="26">
        <f>$B$5+($K$6-$B$5)*4/4</f>
        <v/>
      </c>
      <c r="F7" s="26">
        <f>$K$6+($L$6-$K$6)*1/4</f>
        <v/>
      </c>
      <c r="G7" s="26">
        <f>$K$6+($L$6-$K$6)*2/4</f>
        <v/>
      </c>
      <c r="H7" s="26">
        <f>$K$6+($L$6-$K$6)*3/4</f>
        <v/>
      </c>
      <c r="I7" s="26">
        <f>$K$6+($L$6-$K$6)*4/4</f>
        <v/>
      </c>
      <c r="K7" s="26">
        <f>E7</f>
        <v/>
      </c>
      <c r="L7" s="26">
        <f>I7</f>
        <v/>
      </c>
    </row>
    <row r="9">
      <c r="A9" s="19" t="inlineStr">
        <is>
          <t>Implied net share change, annual (plug = Ending − Beginning, mm)</t>
        </is>
      </c>
      <c r="K9" s="27">
        <f>K6-$B$5</f>
        <v/>
      </c>
      <c r="L9" s="27">
        <f>L6-K6</f>
        <v/>
      </c>
    </row>
  </sheetData>
  <mergeCells count="1">
    <mergeCell ref="A2:K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9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4" customWidth="1" min="10" max="10"/>
    <col width="11" customWidth="1" min="11" max="11"/>
    <col width="11" customWidth="1" min="12" max="12"/>
  </cols>
  <sheetData>
    <row r="1">
      <c r="A1" s="1" t="inlineStr">
        <is>
          <t>Margin &amp; EBITDA — Forecast (top-down, per Gate 7 Sec 5)</t>
        </is>
      </c>
    </row>
    <row r="2" ht="60" customHeight="1">
      <c r="A2" s="7" t="inlineStr">
        <is>
          <t>No stream-level margin is ever disclosed by Oracle (architecture Sec 8/16), so margin is forecast top-down from the scenario-switched consolidated ratios, applied to the bottom-up revenue build on the Revenue Forecast tab. EBITDA uses the ratified D-014 definition: GAAP operating income + D&amp;A, with D&amp;A now linked to the split Depreciation/Amortization build on the Capex &amp; Depreciation tab (Gate 12).</t>
        </is>
      </c>
    </row>
    <row r="4">
      <c r="A4" s="8" t="inlineStr">
        <is>
          <t>Field</t>
        </is>
      </c>
      <c r="B4" s="8" t="inlineStr">
        <is>
          <t>FY27_Q1</t>
        </is>
      </c>
      <c r="C4" s="8" t="inlineStr">
        <is>
          <t>FY27_Q2</t>
        </is>
      </c>
      <c r="D4" s="8" t="inlineStr">
        <is>
          <t>FY27_Q3</t>
        </is>
      </c>
      <c r="E4" s="8" t="inlineStr">
        <is>
          <t>FY27_Q4</t>
        </is>
      </c>
      <c r="F4" s="8" t="inlineStr">
        <is>
          <t>FY28_Q1</t>
        </is>
      </c>
      <c r="G4" s="8" t="inlineStr">
        <is>
          <t>FY28_Q2</t>
        </is>
      </c>
      <c r="H4" s="8" t="inlineStr">
        <is>
          <t>FY28_Q3</t>
        </is>
      </c>
      <c r="I4" s="8" t="inlineStr">
        <is>
          <t>FY28_Q4</t>
        </is>
      </c>
      <c r="J4" s="8" t="inlineStr"/>
      <c r="K4" s="8" t="inlineStr">
        <is>
          <t>FY2027</t>
        </is>
      </c>
      <c r="L4" s="8" t="inlineStr">
        <is>
          <t>FY2028</t>
        </is>
      </c>
    </row>
    <row r="5">
      <c r="A5" s="9" t="inlineStr">
        <is>
          <t>Total revenue (='Revenue Forecast'!)</t>
        </is>
      </c>
      <c r="B5" s="20">
        <f>'Revenue Forecast'!B35</f>
        <v/>
      </c>
      <c r="C5" s="20">
        <f>'Revenue Forecast'!C35</f>
        <v/>
      </c>
      <c r="D5" s="20">
        <f>'Revenue Forecast'!D35</f>
        <v/>
      </c>
      <c r="E5" s="20">
        <f>'Revenue Forecast'!E35</f>
        <v/>
      </c>
      <c r="F5" s="20">
        <f>'Revenue Forecast'!F35</f>
        <v/>
      </c>
      <c r="G5" s="20">
        <f>'Revenue Forecast'!G35</f>
        <v/>
      </c>
      <c r="H5" s="20">
        <f>'Revenue Forecast'!H35</f>
        <v/>
      </c>
      <c r="I5" s="20">
        <f>'Revenue Forecast'!I35</f>
        <v/>
      </c>
      <c r="K5" s="20">
        <f>'Revenue Forecast'!K35</f>
        <v/>
      </c>
      <c r="L5" s="20">
        <f>'Revenue Forecast'!L35</f>
        <v/>
      </c>
    </row>
    <row r="6">
      <c r="A6" s="9" t="inlineStr">
        <is>
          <t>GAAP gross margin % (scenario-selected, annual)</t>
        </is>
      </c>
      <c r="B6" s="13">
        <f>$K$6</f>
        <v/>
      </c>
      <c r="C6" s="13">
        <f>$K$6</f>
        <v/>
      </c>
      <c r="D6" s="13">
        <f>$K$6</f>
        <v/>
      </c>
      <c r="E6" s="13">
        <f>$K$6</f>
        <v/>
      </c>
      <c r="F6" s="13">
        <f>$L$6</f>
        <v/>
      </c>
      <c r="G6" s="13">
        <f>$L$6</f>
        <v/>
      </c>
      <c r="H6" s="13">
        <f>$L$6</f>
        <v/>
      </c>
      <c r="I6" s="13">
        <f>$L$6</f>
        <v/>
      </c>
      <c r="K6" s="18">
        <f>'Scenario Assumptions'!I11</f>
        <v/>
      </c>
      <c r="L6" s="18">
        <f>'Scenario Assumptions'!I12</f>
        <v/>
      </c>
    </row>
    <row r="7">
      <c r="A7" s="9" t="inlineStr">
        <is>
          <t>Gross profit (=Revenue x GAAP gross margin)</t>
        </is>
      </c>
      <c r="B7" s="11">
        <f>B5*B6</f>
        <v/>
      </c>
      <c r="C7" s="11">
        <f>C5*C6</f>
        <v/>
      </c>
      <c r="D7" s="11">
        <f>D5*D6</f>
        <v/>
      </c>
      <c r="E7" s="11">
        <f>E5*E6</f>
        <v/>
      </c>
      <c r="F7" s="11">
        <f>F5*F6</f>
        <v/>
      </c>
      <c r="G7" s="11">
        <f>G5*G6</f>
        <v/>
      </c>
      <c r="H7" s="11">
        <f>H5*H6</f>
        <v/>
      </c>
      <c r="I7" s="11">
        <f>I5*I6</f>
        <v/>
      </c>
      <c r="K7" s="11">
        <f>K5*K6</f>
        <v/>
      </c>
      <c r="L7" s="11">
        <f>L5*L6</f>
        <v/>
      </c>
    </row>
    <row r="8">
      <c r="A8" s="9" t="inlineStr">
        <is>
          <t>Non-GAAP operating margin % (scenario-selected, annual)</t>
        </is>
      </c>
      <c r="B8" s="13">
        <f>$K$8</f>
        <v/>
      </c>
      <c r="C8" s="13">
        <f>$K$8</f>
        <v/>
      </c>
      <c r="D8" s="13">
        <f>$K$8</f>
        <v/>
      </c>
      <c r="E8" s="13">
        <f>$K$8</f>
        <v/>
      </c>
      <c r="F8" s="13">
        <f>$L$8</f>
        <v/>
      </c>
      <c r="G8" s="13">
        <f>$L$8</f>
        <v/>
      </c>
      <c r="H8" s="13">
        <f>$L$8</f>
        <v/>
      </c>
      <c r="I8" s="13">
        <f>$L$8</f>
        <v/>
      </c>
      <c r="K8" s="18">
        <f>'Scenario Assumptions'!I13</f>
        <v/>
      </c>
      <c r="L8" s="18">
        <f>'Scenario Assumptions'!I14</f>
        <v/>
      </c>
    </row>
    <row r="9">
      <c r="A9" s="9" t="inlineStr">
        <is>
          <t>Non-GAAP operating income (=Revenue x Non-GAAP op margin)</t>
        </is>
      </c>
      <c r="B9" s="11">
        <f>B5*B8</f>
        <v/>
      </c>
      <c r="C9" s="11">
        <f>C5*C8</f>
        <v/>
      </c>
      <c r="D9" s="11">
        <f>D5*D8</f>
        <v/>
      </c>
      <c r="E9" s="11">
        <f>E5*E8</f>
        <v/>
      </c>
      <c r="F9" s="11">
        <f>F5*F8</f>
        <v/>
      </c>
      <c r="G9" s="11">
        <f>G5*G8</f>
        <v/>
      </c>
      <c r="H9" s="11">
        <f>H5*H8</f>
        <v/>
      </c>
      <c r="I9" s="11">
        <f>I5*I8</f>
        <v/>
      </c>
      <c r="K9" s="11">
        <f>K5*K8</f>
        <v/>
      </c>
      <c r="L9" s="11">
        <f>L5*L8</f>
        <v/>
      </c>
    </row>
    <row r="11">
      <c r="A11" s="9" t="inlineStr">
        <is>
          <t>D&amp;A (linked from Capex &amp; Depreciation tab: Depreciation + Amortization, per D-014)</t>
        </is>
      </c>
      <c r="B11" s="20">
        <f>'Capex &amp; Depreciation'!B15</f>
        <v/>
      </c>
      <c r="C11" s="20">
        <f>'Capex &amp; Depreciation'!C15</f>
        <v/>
      </c>
      <c r="D11" s="20">
        <f>'Capex &amp; Depreciation'!D15</f>
        <v/>
      </c>
      <c r="E11" s="20">
        <f>'Capex &amp; Depreciation'!E15</f>
        <v/>
      </c>
      <c r="F11" s="20">
        <f>'Capex &amp; Depreciation'!F15</f>
        <v/>
      </c>
      <c r="G11" s="20">
        <f>'Capex &amp; Depreciation'!G15</f>
        <v/>
      </c>
      <c r="H11" s="20">
        <f>'Capex &amp; Depreciation'!H15</f>
        <v/>
      </c>
      <c r="I11" s="20">
        <f>'Capex &amp; Depreciation'!I15</f>
        <v/>
      </c>
      <c r="K11" s="20">
        <f>'Capex &amp; Depreciation'!K15</f>
        <v/>
      </c>
      <c r="L11" s="20">
        <f>'Capex &amp; Depreciation'!L15</f>
        <v/>
      </c>
      <c r="M11" s="22" t="inlineStr">
        <is>
          <t>Now linked to the split Depreciation/Amortization build (Gate 12) instead of a combined envelope</t>
        </is>
      </c>
    </row>
    <row r="12">
      <c r="A12" s="4" t="inlineStr">
        <is>
          <t>EBITDA, annual (D-014: Non-GAAP op income proxy not used; = GAAP op income + D&amp;A)</t>
        </is>
      </c>
      <c r="M12" s="22" t="inlineStr">
        <is>
          <t>See note below - EBITDA built from GAAP operating income (row proxy) + D&amp;A envelope</t>
        </is>
      </c>
    </row>
    <row r="13">
      <c r="A13" s="9" t="inlineStr">
        <is>
          <t>GAAP operating margin % (historical FY26 actual, held flat - no ratified scenario range exists for this line)</t>
        </is>
      </c>
      <c r="B13" s="14" t="n">
        <v>0.3033</v>
      </c>
      <c r="C13" s="14" t="n">
        <v>0.3033</v>
      </c>
      <c r="D13" s="14" t="n">
        <v>0.3033</v>
      </c>
      <c r="E13" s="14" t="n">
        <v>0.3033</v>
      </c>
      <c r="F13" s="14" t="n">
        <v>0.3033</v>
      </c>
      <c r="G13" s="14" t="n">
        <v>0.3033</v>
      </c>
      <c r="H13" s="14" t="n">
        <v>0.3033</v>
      </c>
      <c r="I13" s="14" t="n">
        <v>0.3033</v>
      </c>
      <c r="K13" s="14" t="n">
        <v>0.3033</v>
      </c>
      <c r="L13" s="14" t="n">
        <v>0.3033</v>
      </c>
    </row>
    <row r="14">
      <c r="A14" s="9" t="inlineStr">
        <is>
          <t>GAAP operating income (=Revenue x GAAP operating margin)</t>
        </is>
      </c>
      <c r="B14" s="11">
        <f>B5*B13</f>
        <v/>
      </c>
      <c r="C14" s="11">
        <f>C5*C13</f>
        <v/>
      </c>
      <c r="D14" s="11">
        <f>D5*D13</f>
        <v/>
      </c>
      <c r="E14" s="11">
        <f>E5*E13</f>
        <v/>
      </c>
      <c r="F14" s="11">
        <f>F5*F13</f>
        <v/>
      </c>
      <c r="G14" s="11">
        <f>G5*G13</f>
        <v/>
      </c>
      <c r="H14" s="11">
        <f>H5*H13</f>
        <v/>
      </c>
      <c r="I14" s="11">
        <f>I5*I13</f>
        <v/>
      </c>
      <c r="K14" s="11">
        <f>K5*K13</f>
        <v/>
      </c>
      <c r="L14" s="11">
        <f>L5*L13</f>
        <v/>
      </c>
    </row>
    <row r="15">
      <c r="A15" s="4" t="inlineStr">
        <is>
          <t>EBITDA (D-014: GAAP operating income + D&amp;A envelope)</t>
        </is>
      </c>
      <c r="B15" s="12">
        <f>B14+B11</f>
        <v/>
      </c>
      <c r="C15" s="12">
        <f>C14+C11</f>
        <v/>
      </c>
      <c r="D15" s="12">
        <f>D14+D11</f>
        <v/>
      </c>
      <c r="E15" s="12">
        <f>E14+E11</f>
        <v/>
      </c>
      <c r="F15" s="12">
        <f>F14+F11</f>
        <v/>
      </c>
      <c r="G15" s="12">
        <f>G14+G11</f>
        <v/>
      </c>
      <c r="H15" s="12">
        <f>H14+H11</f>
        <v/>
      </c>
      <c r="I15" s="12">
        <f>I14+I11</f>
        <v/>
      </c>
      <c r="K15" s="12">
        <f>K14+K11</f>
        <v/>
      </c>
      <c r="L15" s="12">
        <f>L14+L11</f>
        <v/>
      </c>
    </row>
    <row r="17" ht="60" customHeight="1">
      <c r="A17" s="7" t="inlineStr">
        <is>
          <t>Note: GAAP operating margin is held at the FY26 annual actual (30.33%) rather than scenario-switched, because D-020 ratified GAAP GROSS margin and Non-GAAP OPERATING margin, not a GAAP operating margin range - there is no ratified number to switch this line to. Gate 12 should either derive GAAP operating income as Non-GAAP operating income less the historical GAAP/non-GAAP opex bridge (OPEX_040/050/060/070), or ask the user to ratify a GAAP operating margin range directly.</t>
        </is>
      </c>
    </row>
    <row r="20">
      <c r="A20" s="3" t="inlineStr">
        <is>
          <t>Net Income &amp; EPS bridge (Gate 13)</t>
        </is>
      </c>
    </row>
    <row r="21">
      <c r="A21" s="9" t="inlineStr">
        <is>
          <t>Interest expense (link, Debt/Leases &amp; Cash tab)</t>
        </is>
      </c>
      <c r="B21" s="20">
        <f>'Debt, Leases &amp; Cash'!B11</f>
        <v/>
      </c>
      <c r="C21" s="20">
        <f>'Debt, Leases &amp; Cash'!C11</f>
        <v/>
      </c>
      <c r="D21" s="20">
        <f>'Debt, Leases &amp; Cash'!D11</f>
        <v/>
      </c>
      <c r="E21" s="20">
        <f>'Debt, Leases &amp; Cash'!E11</f>
        <v/>
      </c>
      <c r="F21" s="20">
        <f>'Debt, Leases &amp; Cash'!F11</f>
        <v/>
      </c>
      <c r="G21" s="20">
        <f>'Debt, Leases &amp; Cash'!G11</f>
        <v/>
      </c>
      <c r="H21" s="20">
        <f>'Debt, Leases &amp; Cash'!H11</f>
        <v/>
      </c>
      <c r="I21" s="20">
        <f>'Debt, Leases &amp; Cash'!I11</f>
        <v/>
      </c>
      <c r="K21" s="20">
        <f>'Debt, Leases &amp; Cash'!K11</f>
        <v/>
      </c>
      <c r="L21" s="20">
        <f>'Debt, Leases &amp; Cash'!L11</f>
        <v/>
      </c>
    </row>
    <row r="22">
      <c r="A22" s="9" t="inlineStr">
        <is>
          <t>Pre-tax income (=GAAP operating income − interest expense; non-operating items excluded by construction, per D-014)</t>
        </is>
      </c>
      <c r="B22" s="11">
        <f>B14-B21</f>
        <v/>
      </c>
      <c r="C22" s="11">
        <f>C14-C21</f>
        <v/>
      </c>
      <c r="D22" s="11">
        <f>D14-D21</f>
        <v/>
      </c>
      <c r="E22" s="11">
        <f>E14-E21</f>
        <v/>
      </c>
      <c r="F22" s="11">
        <f>F14-F21</f>
        <v/>
      </c>
      <c r="G22" s="11">
        <f>G14-G21</f>
        <v/>
      </c>
      <c r="H22" s="11">
        <f>H14-H21</f>
        <v/>
      </c>
      <c r="I22" s="11">
        <f>I14-I21</f>
        <v/>
      </c>
      <c r="K22" s="11">
        <f>K14-K21</f>
        <v/>
      </c>
      <c r="L22" s="11">
        <f>L14-L21</f>
        <v/>
      </c>
    </row>
    <row r="23">
      <c r="A23" s="9" t="inlineStr">
        <is>
          <t>Effective tax rate (trailing FY26 actual, held flat — no ratified scenario range)</t>
        </is>
      </c>
      <c r="B23" s="14" t="n">
        <v>0.1262</v>
      </c>
      <c r="C23" s="14" t="n">
        <v>0.1262</v>
      </c>
      <c r="D23" s="14" t="n">
        <v>0.1262</v>
      </c>
      <c r="E23" s="14" t="n">
        <v>0.1262</v>
      </c>
      <c r="F23" s="14" t="n">
        <v>0.1262</v>
      </c>
      <c r="G23" s="14" t="n">
        <v>0.1262</v>
      </c>
      <c r="H23" s="14" t="n">
        <v>0.1262</v>
      </c>
      <c r="I23" s="14" t="n">
        <v>0.1262</v>
      </c>
      <c r="K23" s="14" t="n">
        <v>0.1262</v>
      </c>
      <c r="L23" s="14" t="n">
        <v>0.1262</v>
      </c>
    </row>
    <row r="24">
      <c r="A24" s="9" t="inlineStr">
        <is>
          <t>Income tax provision</t>
        </is>
      </c>
      <c r="B24" s="11">
        <f>B22*B23</f>
        <v/>
      </c>
      <c r="C24" s="11">
        <f>C22*C23</f>
        <v/>
      </c>
      <c r="D24" s="11">
        <f>D22*D23</f>
        <v/>
      </c>
      <c r="E24" s="11">
        <f>E22*E23</f>
        <v/>
      </c>
      <c r="F24" s="11">
        <f>F22*F23</f>
        <v/>
      </c>
      <c r="G24" s="11">
        <f>G22*G23</f>
        <v/>
      </c>
      <c r="H24" s="11">
        <f>H22*H23</f>
        <v/>
      </c>
      <c r="I24" s="11">
        <f>I22*I23</f>
        <v/>
      </c>
      <c r="K24" s="11">
        <f>K22*K23</f>
        <v/>
      </c>
      <c r="L24" s="11">
        <f>L22*L23</f>
        <v/>
      </c>
    </row>
    <row r="25">
      <c r="A25" s="9" t="inlineStr">
        <is>
          <t>GAAP net income (=Pre-tax income − tax provision)</t>
        </is>
      </c>
      <c r="B25" s="11">
        <f>B22-B24</f>
        <v/>
      </c>
      <c r="C25" s="11">
        <f>C22-C24</f>
        <v/>
      </c>
      <c r="D25" s="11">
        <f>D22-D24</f>
        <v/>
      </c>
      <c r="E25" s="11">
        <f>E22-E24</f>
        <v/>
      </c>
      <c r="F25" s="11">
        <f>F22-F24</f>
        <v/>
      </c>
      <c r="G25" s="11">
        <f>G22-G24</f>
        <v/>
      </c>
      <c r="H25" s="11">
        <f>H22-H24</f>
        <v/>
      </c>
      <c r="I25" s="11">
        <f>I22-I24</f>
        <v/>
      </c>
      <c r="K25" s="11">
        <f>K22-K24</f>
        <v/>
      </c>
      <c r="L25" s="11">
        <f>L22-L24</f>
        <v/>
      </c>
    </row>
    <row r="26">
      <c r="A26" s="9" t="inlineStr">
        <is>
          <t>Preferred dividends (held flat at FY26 Q4 actual rate, $81mm/qtr — Q-11 debt-like default)</t>
        </is>
      </c>
      <c r="B26" s="10" t="n">
        <v>81</v>
      </c>
      <c r="C26" s="10" t="n">
        <v>81</v>
      </c>
      <c r="D26" s="10" t="n">
        <v>81</v>
      </c>
      <c r="E26" s="10" t="n">
        <v>81</v>
      </c>
      <c r="F26" s="10" t="n">
        <v>81</v>
      </c>
      <c r="G26" s="10" t="n">
        <v>81</v>
      </c>
      <c r="H26" s="10" t="n">
        <v>81</v>
      </c>
      <c r="I26" s="10" t="n">
        <v>81</v>
      </c>
      <c r="K26" s="11">
        <f>SUM(B26:E26)</f>
        <v/>
      </c>
      <c r="L26" s="11">
        <f>SUM(F26:I26)</f>
        <v/>
      </c>
    </row>
    <row r="27">
      <c r="A27" s="4" t="inlineStr">
        <is>
          <t>Net income available to common shareholders</t>
        </is>
      </c>
      <c r="B27" s="12">
        <f>B25-B26</f>
        <v/>
      </c>
      <c r="C27" s="12">
        <f>C25-C26</f>
        <v/>
      </c>
      <c r="D27" s="12">
        <f>D25-D26</f>
        <v/>
      </c>
      <c r="E27" s="12">
        <f>E25-E26</f>
        <v/>
      </c>
      <c r="F27" s="12">
        <f>F25-F26</f>
        <v/>
      </c>
      <c r="G27" s="12">
        <f>G25-G26</f>
        <v/>
      </c>
      <c r="H27" s="12">
        <f>H25-H26</f>
        <v/>
      </c>
      <c r="I27" s="12">
        <f>I25-I26</f>
        <v/>
      </c>
      <c r="K27" s="12">
        <f>K25-K26</f>
        <v/>
      </c>
      <c r="L27" s="12">
        <f>L25-L26</f>
        <v/>
      </c>
    </row>
    <row r="28">
      <c r="A28" s="9" t="inlineStr">
        <is>
          <t>Diluted shares, mm (link, Equity &amp; Shares tab)</t>
        </is>
      </c>
      <c r="B28" s="25">
        <f>'Equity &amp; Shares'!B7</f>
        <v/>
      </c>
      <c r="C28" s="25">
        <f>'Equity &amp; Shares'!C7</f>
        <v/>
      </c>
      <c r="D28" s="25">
        <f>'Equity &amp; Shares'!D7</f>
        <v/>
      </c>
      <c r="E28" s="25">
        <f>'Equity &amp; Shares'!E7</f>
        <v/>
      </c>
      <c r="F28" s="25">
        <f>'Equity &amp; Shares'!F7</f>
        <v/>
      </c>
      <c r="G28" s="25">
        <f>'Equity &amp; Shares'!G7</f>
        <v/>
      </c>
      <c r="H28" s="25">
        <f>'Equity &amp; Shares'!H7</f>
        <v/>
      </c>
      <c r="I28" s="25">
        <f>'Equity &amp; Shares'!I7</f>
        <v/>
      </c>
      <c r="K28" s="25">
        <f>'Equity &amp; Shares'!K7</f>
        <v/>
      </c>
      <c r="L28" s="25">
        <f>'Equity &amp; Shares'!L7</f>
        <v/>
      </c>
    </row>
    <row r="29">
      <c r="A29" s="4" t="inlineStr">
        <is>
          <t>GAAP diluted EPS</t>
        </is>
      </c>
      <c r="B29" s="29">
        <f>B27/B28</f>
        <v/>
      </c>
      <c r="C29" s="29">
        <f>C27/C28</f>
        <v/>
      </c>
      <c r="D29" s="29">
        <f>D27/D28</f>
        <v/>
      </c>
      <c r="E29" s="29">
        <f>E27/E28</f>
        <v/>
      </c>
      <c r="F29" s="29">
        <f>F27/F28</f>
        <v/>
      </c>
      <c r="G29" s="29">
        <f>G27/G28</f>
        <v/>
      </c>
      <c r="H29" s="29">
        <f>H27/H28</f>
        <v/>
      </c>
      <c r="I29" s="29">
        <f>I27/I28</f>
        <v/>
      </c>
      <c r="K29" s="29">
        <f>K27/K28</f>
        <v/>
      </c>
      <c r="L29" s="29">
        <f>L27/L28</f>
        <v/>
      </c>
    </row>
  </sheetData>
  <mergeCells count="2">
    <mergeCell ref="A2:K2"/>
    <mergeCell ref="A17:K1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3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4" customWidth="1" min="10" max="10"/>
    <col width="11" customWidth="1" min="11" max="11"/>
    <col width="11" customWidth="1" min="12" max="12"/>
  </cols>
  <sheetData>
    <row r="1">
      <c r="A1" s="1" t="inlineStr">
        <is>
          <t>Cash Flow &amp; Returns — includes D-021's five capital-adjusted valuation controls</t>
        </is>
      </c>
    </row>
    <row r="2" ht="75" customHeight="1">
      <c r="A2" s="7" t="inlineStr">
        <is>
          <t>Operating cash flow is solved as a PLUG from the cash identity (Beginning cash + OCF − Net cash capex + Net debt issuance = Ending cash), since D-020 ratifies the endpoints (ending cash, ending debt) but not a full operating cash flow build. The plug absorbs dividends, buybacks, and any other financing/investing items not separately modeled at Gate 12 - it is a reconciling figure, not a bottom-up forecast, and is labeled as such. Rows below it (EBITDA less capex, OCF less capex, capex/revenue, lease-adjusted net leverage) are the five controls the primary EV/NTM EBITDA method is required to carry alongside it, per D-021 Sec1. Incremental ROIC (D-021's fifth control) is NOT built - it needs an invested-capital base beyond Gate 12's balance-sheet scope; flagged for Gate 13.</t>
        </is>
      </c>
    </row>
    <row r="4">
      <c r="A4" s="23" t="inlineStr">
        <is>
          <t>Field ($mm)</t>
        </is>
      </c>
      <c r="B4" s="23" t="inlineStr">
        <is>
          <t>FY27_Q1</t>
        </is>
      </c>
      <c r="C4" s="23" t="inlineStr">
        <is>
          <t>FY27_Q2</t>
        </is>
      </c>
      <c r="D4" s="23" t="inlineStr">
        <is>
          <t>FY27_Q3</t>
        </is>
      </c>
      <c r="E4" s="23" t="inlineStr">
        <is>
          <t>FY27_Q4</t>
        </is>
      </c>
      <c r="F4" s="23" t="inlineStr">
        <is>
          <t>FY28_Q1</t>
        </is>
      </c>
      <c r="G4" s="23" t="inlineStr">
        <is>
          <t>FY28_Q2</t>
        </is>
      </c>
      <c r="H4" s="23" t="inlineStr">
        <is>
          <t>FY28_Q3</t>
        </is>
      </c>
      <c r="I4" s="23" t="inlineStr">
        <is>
          <t>FY28_Q4</t>
        </is>
      </c>
      <c r="J4" s="23" t="inlineStr"/>
      <c r="K4" s="23" t="inlineStr">
        <is>
          <t>FY2027</t>
        </is>
      </c>
      <c r="L4" s="23" t="inlineStr">
        <is>
          <t>FY2028</t>
        </is>
      </c>
    </row>
    <row r="5">
      <c r="A5" s="9" t="inlineStr">
        <is>
          <t>Total revenue (link)</t>
        </is>
      </c>
      <c r="B5" s="20">
        <f>'Margin &amp; EBITDA'!B5</f>
        <v/>
      </c>
      <c r="C5" s="20">
        <f>'Margin &amp; EBITDA'!C5</f>
        <v/>
      </c>
      <c r="D5" s="20">
        <f>'Margin &amp; EBITDA'!D5</f>
        <v/>
      </c>
      <c r="E5" s="20">
        <f>'Margin &amp; EBITDA'!E5</f>
        <v/>
      </c>
      <c r="F5" s="20">
        <f>'Margin &amp; EBITDA'!F5</f>
        <v/>
      </c>
      <c r="G5" s="20">
        <f>'Margin &amp; EBITDA'!G5</f>
        <v/>
      </c>
      <c r="H5" s="20">
        <f>'Margin &amp; EBITDA'!H5</f>
        <v/>
      </c>
      <c r="I5" s="20">
        <f>'Margin &amp; EBITDA'!I5</f>
        <v/>
      </c>
      <c r="K5" s="20">
        <f>'Margin &amp; EBITDA'!K5</f>
        <v/>
      </c>
      <c r="L5" s="20">
        <f>'Margin &amp; EBITDA'!L5</f>
        <v/>
      </c>
    </row>
    <row r="6">
      <c r="A6" s="9" t="inlineStr">
        <is>
          <t>EBITDA (link, D-014 definition)</t>
        </is>
      </c>
      <c r="B6" s="20">
        <f>'Margin &amp; EBITDA'!B15</f>
        <v/>
      </c>
      <c r="C6" s="20">
        <f>'Margin &amp; EBITDA'!C15</f>
        <v/>
      </c>
      <c r="D6" s="20">
        <f>'Margin &amp; EBITDA'!D15</f>
        <v/>
      </c>
      <c r="E6" s="20">
        <f>'Margin &amp; EBITDA'!E15</f>
        <v/>
      </c>
      <c r="F6" s="20">
        <f>'Margin &amp; EBITDA'!F15</f>
        <v/>
      </c>
      <c r="G6" s="20">
        <f>'Margin &amp; EBITDA'!G15</f>
        <v/>
      </c>
      <c r="H6" s="20">
        <f>'Margin &amp; EBITDA'!H15</f>
        <v/>
      </c>
      <c r="I6" s="20">
        <f>'Margin &amp; EBITDA'!I15</f>
        <v/>
      </c>
      <c r="K6" s="20">
        <f>'Margin &amp; EBITDA'!K15</f>
        <v/>
      </c>
      <c r="L6" s="20">
        <f>'Margin &amp; EBITDA'!L15</f>
        <v/>
      </c>
    </row>
    <row r="7">
      <c r="A7" s="9" t="inlineStr">
        <is>
          <t>Net cash capex (link, Capex &amp; Depreciation tab)</t>
        </is>
      </c>
      <c r="K7" s="20">
        <f>'Capex &amp; Depreciation'!K6</f>
        <v/>
      </c>
      <c r="L7" s="20">
        <f>'Capex &amp; Depreciation'!L6</f>
        <v/>
      </c>
    </row>
    <row r="8">
      <c r="A8" s="9" t="inlineStr">
        <is>
          <t>Gross reported capex (link, for the capex/revenue control)</t>
        </is>
      </c>
      <c r="K8" s="20">
        <f>'Capex &amp; Depreciation'!K5</f>
        <v/>
      </c>
      <c r="L8" s="20">
        <f>'Capex &amp; Depreciation'!L5</f>
        <v/>
      </c>
    </row>
    <row r="10">
      <c r="A10" s="9" t="inlineStr">
        <is>
          <t>Beginning cash (link)</t>
        </is>
      </c>
      <c r="K10" s="20">
        <f>'Debt, Leases &amp; Cash'!$B$18</f>
        <v/>
      </c>
    </row>
    <row r="11">
      <c r="A11" s="9" t="inlineStr">
        <is>
          <t>Ending cash (link)</t>
        </is>
      </c>
      <c r="K11" s="20">
        <f>'Debt, Leases &amp; Cash'!K19</f>
        <v/>
      </c>
      <c r="L11" s="20">
        <f>'Debt, Leases &amp; Cash'!L19</f>
        <v/>
      </c>
    </row>
    <row r="12">
      <c r="A12" s="9" t="inlineStr">
        <is>
          <t>Net debt issuance/(repayment) (link)</t>
        </is>
      </c>
      <c r="K12" s="20">
        <f>'Debt, Leases &amp; Cash'!K8</f>
        <v/>
      </c>
      <c r="L12" s="20">
        <f>'Debt, Leases &amp; Cash'!L8</f>
        <v/>
      </c>
    </row>
    <row r="13">
      <c r="A13" s="4" t="inlineStr">
        <is>
          <t>Implied operating cash flow (PLUG): Ending cash − Beginning cash + Net cash capex − Net debt issuance</t>
        </is>
      </c>
      <c r="K13" s="12">
        <f>K11-K10+K7-K12</f>
        <v/>
      </c>
      <c r="L13" s="12">
        <f>L11-K11+L7-L12</f>
        <v/>
      </c>
    </row>
    <row r="15">
      <c r="A15" s="4" t="inlineStr">
        <is>
          <t>Free cash flow (= Implied OCF − Net cash capex)</t>
        </is>
      </c>
      <c r="K15" s="12">
        <f>K13-K7</f>
        <v/>
      </c>
      <c r="L15" s="12">
        <f>L13-L7</f>
        <v/>
      </c>
    </row>
    <row r="17">
      <c r="A17" s="9" t="inlineStr">
        <is>
          <t>D-021 Control 1 — Capex as % of revenue (gross capex / total revenue)</t>
        </is>
      </c>
      <c r="K17" s="13">
        <f>K8/K5</f>
        <v/>
      </c>
      <c r="L17" s="13">
        <f>L8/L5</f>
        <v/>
      </c>
    </row>
    <row r="18">
      <c r="A18" s="9" t="inlineStr">
        <is>
          <t>D-021 Control 2 — EBITDA less capex (net cash capex)</t>
        </is>
      </c>
      <c r="K18" s="11">
        <f>K6-K7</f>
        <v/>
      </c>
      <c r="L18" s="11">
        <f>L6-L7</f>
        <v/>
      </c>
    </row>
    <row r="19">
      <c r="A19" s="9" t="inlineStr">
        <is>
          <t>D-021 Control 3 — Operating cash flow less capex (= FCF above)</t>
        </is>
      </c>
      <c r="K19" s="11">
        <f>K15</f>
        <v/>
      </c>
      <c r="L19" s="11">
        <f>L15</f>
        <v/>
      </c>
    </row>
    <row r="20">
      <c r="A20" s="9" t="inlineStr">
        <is>
          <t>D-021 Control 4 — Lease-adjusted net debt (gross debt + on-BS lease liabilities − cash)</t>
        </is>
      </c>
      <c r="K20" s="20">
        <f>'Debt, Leases &amp; Cash'!K6+'Debt, Leases &amp; Cash'!K16-'Debt, Leases &amp; Cash'!K19</f>
        <v/>
      </c>
      <c r="L20" s="20">
        <f>'Debt, Leases &amp; Cash'!L6+'Debt, Leases &amp; Cash'!L16-'Debt, Leases &amp; Cash'!L19</f>
        <v/>
      </c>
    </row>
    <row r="21">
      <c r="A21" s="4" t="inlineStr">
        <is>
          <t>D-021 Control 4 — Lease-adjusted net leverage (lease-adj. net debt / EBITDA)</t>
        </is>
      </c>
      <c r="K21" s="28">
        <f>K20/K6</f>
        <v/>
      </c>
      <c r="L21" s="28">
        <f>L20/L6</f>
        <v/>
      </c>
    </row>
    <row r="23">
      <c r="A23" s="2" t="inlineStr">
        <is>
          <t>D-021 Control 5 — Incremental ROIC — NOT built at Gate 12 (needs invested-capital base; Gate 13)</t>
        </is>
      </c>
    </row>
  </sheetData>
  <mergeCells count="1">
    <mergeCell ref="A2:K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6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60" customWidth="1" min="7" max="7"/>
  </cols>
  <sheetData>
    <row r="1">
      <c r="A1" s="1" t="inlineStr">
        <is>
          <t>Valuation — NTM Aggregation &amp; Enterprise-to-Equity Bridge</t>
        </is>
      </c>
    </row>
    <row r="2" ht="105" customHeight="1">
      <c r="A2" s="7" t="inlineStr">
        <is>
          <t>Built per Framework Sec14/15 and D-021's methodology. NTM windows are exactly the four the Framework specifies (Q-07), summed directly from the forecast tabs. The enterprise-to-equity bridge components (debt, leases, preferred, cash) are pulled at the balance as of the quarter just completed at each valuation date. THE MULTIPLE CELLS BELOW ARE BLANK BY DESIGN: assigning a real EV/NTM EBITDA or P/NTM EPS multiple needs live, as-of-dated peer market data, which this session does not have (Q-08: FactSet connector unauthenticated; C-09: existing comp table is stale/single-sourced/illustrative-only per the Gate 9 methodology). Filling a real number into an LLM's general knowledge of current prices would violate this project's no-fabricated-data rule — so those cells stay blank, highlighted, for the user or an authenticated data source to fill in. An ILLUSTRATIVE-ONLY section further below demonstrates the mechanism using the Framework's own explicitly-unadopted candidate multiple ranges (never treat that section's output as a real target).</t>
        </is>
      </c>
    </row>
    <row r="4">
      <c r="A4" s="4" t="inlineStr">
        <is>
          <t>Scenario in effect (link, Control Panel)</t>
        </is>
      </c>
      <c r="B4" s="30">
        <f>'Control Panel'!B5</f>
        <v/>
      </c>
    </row>
    <row r="6">
      <c r="A6" s="3" t="inlineStr">
        <is>
          <t>1. NTM aggregation at each valuation date</t>
        </is>
      </c>
    </row>
    <row r="7">
      <c r="A7" s="23" t="inlineStr">
        <is>
          <t>Valuation date</t>
        </is>
      </c>
      <c r="B7" s="23" t="inlineStr">
        <is>
          <t>Expected timing</t>
        </is>
      </c>
      <c r="C7" s="23" t="inlineStr">
        <is>
          <t>NTM revenue ($mm)</t>
        </is>
      </c>
      <c r="D7" s="23" t="inlineStr">
        <is>
          <t>NTM EBITDA ($mm)</t>
        </is>
      </c>
      <c r="E7" s="23" t="inlineStr">
        <is>
          <t>NTM EPS ($)</t>
        </is>
      </c>
    </row>
    <row r="8">
      <c r="A8" s="9" t="inlineStr">
        <is>
          <t>FY27 Q1 release</t>
        </is>
      </c>
      <c r="B8" s="9" t="inlineStr">
        <is>
          <t>2026-09-10 (management-scheduled)</t>
        </is>
      </c>
      <c r="C8" s="20">
        <f>'Revenue Forecast'!C35+'Revenue Forecast'!D35+'Revenue Forecast'!E35+'Revenue Forecast'!F35</f>
        <v/>
      </c>
      <c r="D8" s="20">
        <f>'Margin &amp; EBITDA'!C15+'Margin &amp; EBITDA'!D15+'Margin &amp; EBITDA'!E15+'Margin &amp; EBITDA'!F15</f>
        <v/>
      </c>
      <c r="E8" s="31">
        <f>'Margin &amp; EBITDA'!C29+'Margin &amp; EBITDA'!D29+'Margin &amp; EBITDA'!E29+'Margin &amp; EBITDA'!F29</f>
        <v/>
      </c>
    </row>
    <row r="9">
      <c r="A9" s="9" t="inlineStr">
        <is>
          <t>FY27 Q2 release</t>
        </is>
      </c>
      <c r="B9" s="9" t="inlineStr">
        <is>
          <t>est. December 2026</t>
        </is>
      </c>
      <c r="C9" s="20">
        <f>'Revenue Forecast'!D35+'Revenue Forecast'!E35+'Revenue Forecast'!F35+'Revenue Forecast'!G35</f>
        <v/>
      </c>
      <c r="D9" s="20">
        <f>'Margin &amp; EBITDA'!D15+'Margin &amp; EBITDA'!E15+'Margin &amp; EBITDA'!F15+'Margin &amp; EBITDA'!G15</f>
        <v/>
      </c>
      <c r="E9" s="31">
        <f>'Margin &amp; EBITDA'!D29+'Margin &amp; EBITDA'!E29+'Margin &amp; EBITDA'!F29+'Margin &amp; EBITDA'!G29</f>
        <v/>
      </c>
    </row>
    <row r="10">
      <c r="A10" s="9" t="inlineStr">
        <is>
          <t>FY27 Q3 release</t>
        </is>
      </c>
      <c r="B10" s="9" t="inlineStr">
        <is>
          <t>est. March 2027</t>
        </is>
      </c>
      <c r="C10" s="20">
        <f>'Revenue Forecast'!E35+'Revenue Forecast'!F35+'Revenue Forecast'!G35+'Revenue Forecast'!H35</f>
        <v/>
      </c>
      <c r="D10" s="20">
        <f>'Margin &amp; EBITDA'!E15+'Margin &amp; EBITDA'!F15+'Margin &amp; EBITDA'!G15+'Margin &amp; EBITDA'!H15</f>
        <v/>
      </c>
      <c r="E10" s="31">
        <f>'Margin &amp; EBITDA'!E29+'Margin &amp; EBITDA'!F29+'Margin &amp; EBITDA'!G29+'Margin &amp; EBITDA'!H29</f>
        <v/>
      </c>
    </row>
    <row r="11">
      <c r="A11" s="9" t="inlineStr">
        <is>
          <t>FY27 Q4 release</t>
        </is>
      </c>
      <c r="B11" s="9" t="inlineStr">
        <is>
          <t>est. June 2027</t>
        </is>
      </c>
      <c r="C11" s="20">
        <f>'Revenue Forecast'!F35+'Revenue Forecast'!G35+'Revenue Forecast'!H35+'Revenue Forecast'!I35</f>
        <v/>
      </c>
      <c r="D11" s="20">
        <f>'Margin &amp; EBITDA'!F15+'Margin &amp; EBITDA'!G15+'Margin &amp; EBITDA'!H15+'Margin &amp; EBITDA'!I15</f>
        <v/>
      </c>
      <c r="E11" s="31">
        <f>'Margin &amp; EBITDA'!F29+'Margin &amp; EBITDA'!G29+'Margin &amp; EBITDA'!H29+'Margin &amp; EBITDA'!I29</f>
        <v/>
      </c>
    </row>
    <row r="14">
      <c r="A14" s="3" t="inlineStr">
        <is>
          <t>2. Enterprise-to-equity bridge components at each valuation date (balance as of the just-completed quarter)</t>
        </is>
      </c>
    </row>
    <row r="15">
      <c r="A15" s="23" t="inlineStr">
        <is>
          <t>Valuation date</t>
        </is>
      </c>
      <c r="B15" s="23" t="inlineStr">
        <is>
          <t>Gross debt</t>
        </is>
      </c>
      <c r="C15" s="23" t="inlineStr">
        <is>
          <t>Lease liab. (on-BS)</t>
        </is>
      </c>
      <c r="D15" s="23" t="inlineStr">
        <is>
          <t>Preferred</t>
        </is>
      </c>
      <c r="E15" s="23" t="inlineStr">
        <is>
          <t>Cash + mkt. sec.</t>
        </is>
      </c>
    </row>
    <row r="16">
      <c r="A16" s="9" t="inlineStr">
        <is>
          <t>FY27 Q1 release</t>
        </is>
      </c>
      <c r="B16" s="20">
        <f>'Debt, Leases &amp; Cash'!B7</f>
        <v/>
      </c>
      <c r="C16" s="20">
        <f>'Debt, Leases &amp; Cash'!B22</f>
        <v/>
      </c>
      <c r="D16" s="20">
        <f>'Debt, Leases &amp; Cash'!$B$25</f>
        <v/>
      </c>
      <c r="E16" s="20">
        <f>'Debt, Leases &amp; Cash'!B20+'Debt, Leases &amp; Cash'!$B$24</f>
        <v/>
      </c>
    </row>
    <row r="17">
      <c r="A17" s="9" t="inlineStr">
        <is>
          <t>FY27 Q2 release</t>
        </is>
      </c>
      <c r="B17" s="20">
        <f>'Debt, Leases &amp; Cash'!C7</f>
        <v/>
      </c>
      <c r="C17" s="20">
        <f>'Debt, Leases &amp; Cash'!C22</f>
        <v/>
      </c>
      <c r="D17" s="20">
        <f>'Debt, Leases &amp; Cash'!$B$25</f>
        <v/>
      </c>
      <c r="E17" s="20">
        <f>'Debt, Leases &amp; Cash'!C20+'Debt, Leases &amp; Cash'!$B$24</f>
        <v/>
      </c>
    </row>
    <row r="18">
      <c r="A18" s="9" t="inlineStr">
        <is>
          <t>FY27 Q3 release</t>
        </is>
      </c>
      <c r="B18" s="20">
        <f>'Debt, Leases &amp; Cash'!D7</f>
        <v/>
      </c>
      <c r="C18" s="20">
        <f>'Debt, Leases &amp; Cash'!D22</f>
        <v/>
      </c>
      <c r="D18" s="20">
        <f>'Debt, Leases &amp; Cash'!$B$25</f>
        <v/>
      </c>
      <c r="E18" s="20">
        <f>'Debt, Leases &amp; Cash'!D20+'Debt, Leases &amp; Cash'!$B$24</f>
        <v/>
      </c>
    </row>
    <row r="19">
      <c r="A19" s="9" t="inlineStr">
        <is>
          <t>FY27 Q4 release</t>
        </is>
      </c>
      <c r="B19" s="20">
        <f>'Debt, Leases &amp; Cash'!E7</f>
        <v/>
      </c>
      <c r="C19" s="20">
        <f>'Debt, Leases &amp; Cash'!E22</f>
        <v/>
      </c>
      <c r="D19" s="20">
        <f>'Debt, Leases &amp; Cash'!$B$25</f>
        <v/>
      </c>
      <c r="E19" s="20">
        <f>'Debt, Leases &amp; Cash'!E20+'Debt, Leases &amp; Cash'!$B$24</f>
        <v/>
      </c>
    </row>
    <row r="20" ht="30" customHeight="1">
      <c r="A20" s="7" t="inlineStr">
        <is>
          <t>Preferred treatment: debt-like (subtracted; Q-11 default, unresolved). Lease liabilities included in EV bridge (Q-13 unresolved — verify peer multiples use the same convention before using this bridge at Gate 13 sign-off).</t>
        </is>
      </c>
    </row>
    <row r="22">
      <c r="A22" s="3" t="inlineStr">
        <is>
          <t>3. Multiple assignment — BLOCKED (Q-08/C-09)</t>
        </is>
      </c>
    </row>
    <row r="23">
      <c r="A23" s="23" t="inlineStr">
        <is>
          <t>Valuation date</t>
        </is>
      </c>
      <c r="B23" s="23" t="inlineStr">
        <is>
          <t>EV/NTM EBITDA (bear/base/bull)</t>
        </is>
      </c>
      <c r="C23" s="23" t="inlineStr">
        <is>
          <t>P/NTM EPS (bear/base/bull)</t>
        </is>
      </c>
    </row>
    <row r="24">
      <c r="A24" s="9" t="inlineStr">
        <is>
          <t>FY27 Q1 release</t>
        </is>
      </c>
      <c r="B24" s="32" t="n"/>
      <c r="C24" s="32" t="n"/>
    </row>
    <row r="25">
      <c r="A25" s="9" t="inlineStr">
        <is>
          <t>FY27 Q2 release</t>
        </is>
      </c>
      <c r="B25" s="32" t="n"/>
      <c r="C25" s="32" t="n"/>
    </row>
    <row r="26">
      <c r="A26" s="9" t="inlineStr">
        <is>
          <t>FY27 Q3 release</t>
        </is>
      </c>
      <c r="B26" s="32" t="n"/>
      <c r="C26" s="32" t="n"/>
    </row>
    <row r="27">
      <c r="A27" s="9" t="inlineStr">
        <is>
          <t>FY27 Q4 release</t>
        </is>
      </c>
      <c r="B27" s="32" t="n"/>
      <c r="C27" s="32" t="n"/>
    </row>
    <row r="28">
      <c r="A28" s="2" t="inlineStr">
        <is>
          <t>Fill in once Q-08 is resolved (FactSet authenticated, or user-supplied as-of-dated peer data) — do not fill from general knowledge.</t>
        </is>
      </c>
    </row>
    <row r="30">
      <c r="A30" s="33" t="inlineStr">
        <is>
          <t>4. ILLUSTRATIVE ONLY — mechanism demo using the Framework's unadopted candidate multiples (NOT a real valuation)</t>
        </is>
      </c>
    </row>
    <row r="31">
      <c r="A31" s="23" t="inlineStr">
        <is>
          <t>Valuation date</t>
        </is>
      </c>
      <c r="B31" s="23" t="inlineStr">
        <is>
          <t>Illustrative EV (Base, $mm)</t>
        </is>
      </c>
      <c r="C31" s="23" t="inlineStr">
        <is>
          <t>Illustrative equity value (Base, $mm)</t>
        </is>
      </c>
      <c r="D31" s="23" t="inlineStr">
        <is>
          <t>Illustrative implied price (Base, $/sh)</t>
        </is>
      </c>
    </row>
    <row r="32">
      <c r="A32" s="9" t="inlineStr">
        <is>
          <t>FY27 Q1 release</t>
        </is>
      </c>
      <c r="B32" s="34">
        <f>D8*13.0</f>
        <v/>
      </c>
      <c r="C32" s="34">
        <f>B32-B16-C16-D16+E16</f>
        <v/>
      </c>
      <c r="D32" s="35">
        <f>C32/'Equity &amp; Shares'!B7</f>
        <v/>
      </c>
    </row>
    <row r="33">
      <c r="A33" s="9" t="inlineStr">
        <is>
          <t>FY27 Q2 release</t>
        </is>
      </c>
      <c r="B33" s="34">
        <f>D9*13.0</f>
        <v/>
      </c>
      <c r="C33" s="34">
        <f>B33-B17-C17-D17+E17</f>
        <v/>
      </c>
      <c r="D33" s="35">
        <f>C33/'Equity &amp; Shares'!C7</f>
        <v/>
      </c>
    </row>
    <row r="34">
      <c r="A34" s="9" t="inlineStr">
        <is>
          <t>FY27 Q3 release</t>
        </is>
      </c>
      <c r="B34" s="34">
        <f>D10*13.0</f>
        <v/>
      </c>
      <c r="C34" s="34">
        <f>B34-B18-C18-D18+E18</f>
        <v/>
      </c>
      <c r="D34" s="35">
        <f>C34/'Equity &amp; Shares'!D7</f>
        <v/>
      </c>
    </row>
    <row r="35">
      <c r="A35" s="9" t="inlineStr">
        <is>
          <t>FY27 Q4 release</t>
        </is>
      </c>
      <c r="B35" s="34">
        <f>D11*13.0</f>
        <v/>
      </c>
      <c r="C35" s="34">
        <f>B35-B19-C19-D19+E19</f>
        <v/>
      </c>
      <c r="D35" s="35">
        <f>C35/'Equity &amp; Shares'!E7</f>
        <v/>
      </c>
    </row>
    <row r="36">
      <c r="A36" s="2" t="inlineStr">
        <is>
          <t>Illustrative only: uses Framework Sec8's unadopted 12x-14x base EV/NTM EBITDA range (midpoint 13.0x), never sourced from live peer data. Do not quote as a price target.</t>
        </is>
      </c>
    </row>
  </sheetData>
  <mergeCells count="4">
    <mergeCell ref="A28:C28"/>
    <mergeCell ref="A2:G2"/>
    <mergeCell ref="A36:D36"/>
    <mergeCell ref="A20:E2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5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4" customWidth="1" min="10" max="10"/>
    <col width="14" customWidth="1" min="11" max="11"/>
    <col width="14" customWidth="1" min="12" max="12"/>
    <col width="40" customWidth="1" min="13" max="13"/>
  </cols>
  <sheetData>
    <row r="1">
      <c r="A1" s="1" t="inlineStr">
        <is>
          <t>Checks — Gate 10 minimal build</t>
        </is>
      </c>
    </row>
    <row r="2" ht="30" customHeight="1">
      <c r="A2" s="7" t="inlineStr">
        <is>
          <t>Green = tie, zero variance. Red = investigate. Historical checks re-verify Gate 6's own reconciliation (belt-and-suspenders inside the model itself); forecast checks confirm the build mechanics hold together, not that the forecast is 'correct' (there is no ground truth for a forecast — only internal consistency).</t>
        </is>
      </c>
    </row>
    <row r="4">
      <c r="A4" s="3" t="inlineStr">
        <is>
          <t>CHECK_020 — Historical: six-stream sum = Total revenue (REV_370)</t>
        </is>
      </c>
    </row>
    <row r="5">
      <c r="A5" s="8" t="inlineStr">
        <is>
          <t>Period</t>
        </is>
      </c>
      <c r="B5" s="8" t="inlineStr">
        <is>
          <t>FY25_Q1</t>
        </is>
      </c>
      <c r="C5" s="8" t="inlineStr">
        <is>
          <t>FY25_Q2</t>
        </is>
      </c>
      <c r="D5" s="8" t="inlineStr">
        <is>
          <t>FY25_Q3</t>
        </is>
      </c>
      <c r="E5" s="8" t="inlineStr">
        <is>
          <t>FY25_Q4</t>
        </is>
      </c>
      <c r="F5" s="8" t="inlineStr">
        <is>
          <t>FY26_Q1</t>
        </is>
      </c>
      <c r="G5" s="8" t="inlineStr">
        <is>
          <t>FY26_Q2</t>
        </is>
      </c>
      <c r="H5" s="8" t="inlineStr">
        <is>
          <t>FY26_Q3</t>
        </is>
      </c>
      <c r="I5" s="8" t="inlineStr">
        <is>
          <t>FY26_Q4</t>
        </is>
      </c>
    </row>
    <row r="6">
      <c r="A6" s="9" t="inlineStr">
        <is>
          <t>Variance ($mm), should be exactly 0</t>
        </is>
      </c>
      <c r="B6" s="11">
        <f>'Historical Actuals'!B11-SUM('Historical Actuals'!B5:B10)</f>
        <v/>
      </c>
      <c r="C6" s="11">
        <f>'Historical Actuals'!C11-SUM('Historical Actuals'!C5:C10)</f>
        <v/>
      </c>
      <c r="D6" s="11">
        <f>'Historical Actuals'!D11-SUM('Historical Actuals'!D5:D10)</f>
        <v/>
      </c>
      <c r="E6" s="11">
        <f>'Historical Actuals'!E11-SUM('Historical Actuals'!E5:E10)</f>
        <v/>
      </c>
      <c r="F6" s="11">
        <f>'Historical Actuals'!F11-SUM('Historical Actuals'!F5:F10)</f>
        <v/>
      </c>
      <c r="G6" s="11">
        <f>'Historical Actuals'!G11-SUM('Historical Actuals'!G5:G10)</f>
        <v/>
      </c>
      <c r="H6" s="11">
        <f>'Historical Actuals'!H11-SUM('Historical Actuals'!H5:H10)</f>
        <v/>
      </c>
      <c r="I6" s="11">
        <f>'Historical Actuals'!I11-SUM('Historical Actuals'!I5:I10)</f>
        <v/>
      </c>
    </row>
    <row r="9">
      <c r="A9" s="3" t="inlineStr">
        <is>
          <t>CHECK_050 — Historical: sum of quarters = fiscal year (REV_370)</t>
        </is>
      </c>
    </row>
    <row r="10">
      <c r="A10" s="8" t="inlineStr"/>
      <c r="B10" s="8" t="inlineStr">
        <is>
          <t>FY2025</t>
        </is>
      </c>
      <c r="C10" s="8" t="inlineStr">
        <is>
          <t>FY2026</t>
        </is>
      </c>
    </row>
    <row r="11">
      <c r="A11" s="9" t="inlineStr">
        <is>
          <t>Variance ($mm), should be exactly 0</t>
        </is>
      </c>
      <c r="B11" s="11">
        <f>'Historical Actuals'!K11-SUM('Historical Actuals'!B11:E11)</f>
        <v/>
      </c>
      <c r="C11" s="11">
        <f>'Historical Actuals'!L11-SUM('Historical Actuals'!F11:I11)</f>
        <v/>
      </c>
    </row>
    <row r="14">
      <c r="A14" s="3" t="inlineStr">
        <is>
          <t>Forecast: six-stream sum = Total revenue (Revenue Forecast tab)</t>
        </is>
      </c>
    </row>
    <row r="15">
      <c r="A15" s="8" t="inlineStr">
        <is>
          <t>Period</t>
        </is>
      </c>
      <c r="B15" s="8" t="inlineStr">
        <is>
          <t>FY27_Q1</t>
        </is>
      </c>
      <c r="C15" s="8" t="inlineStr">
        <is>
          <t>FY27_Q2</t>
        </is>
      </c>
      <c r="D15" s="8" t="inlineStr">
        <is>
          <t>FY27_Q3</t>
        </is>
      </c>
      <c r="E15" s="8" t="inlineStr">
        <is>
          <t>FY27_Q4</t>
        </is>
      </c>
      <c r="F15" s="8" t="inlineStr">
        <is>
          <t>FY28_Q1</t>
        </is>
      </c>
      <c r="G15" s="8" t="inlineStr">
        <is>
          <t>FY28_Q2</t>
        </is>
      </c>
      <c r="H15" s="8" t="inlineStr">
        <is>
          <t>FY28_Q3</t>
        </is>
      </c>
      <c r="I15" s="8" t="inlineStr">
        <is>
          <t>FY28_Q4</t>
        </is>
      </c>
    </row>
    <row r="16">
      <c r="A16" s="9" t="inlineStr">
        <is>
          <t>Variance ($mm), should be exactly 0 (true by construction - SUM formula)</t>
        </is>
      </c>
      <c r="B16" s="11">
        <f>'Revenue Forecast'!B35-SUM('Revenue Forecast'!B29:B34)</f>
        <v/>
      </c>
      <c r="C16" s="11">
        <f>'Revenue Forecast'!C35-SUM('Revenue Forecast'!C29:C34)</f>
        <v/>
      </c>
      <c r="D16" s="11">
        <f>'Revenue Forecast'!D35-SUM('Revenue Forecast'!D29:D34)</f>
        <v/>
      </c>
      <c r="E16" s="11">
        <f>'Revenue Forecast'!E35-SUM('Revenue Forecast'!E29:E34)</f>
        <v/>
      </c>
      <c r="F16" s="11">
        <f>'Revenue Forecast'!F35-SUM('Revenue Forecast'!F29:F34)</f>
        <v/>
      </c>
      <c r="G16" s="11">
        <f>'Revenue Forecast'!G35-SUM('Revenue Forecast'!G29:G34)</f>
        <v/>
      </c>
      <c r="H16" s="11">
        <f>'Revenue Forecast'!H35-SUM('Revenue Forecast'!H29:H34)</f>
        <v/>
      </c>
      <c r="I16" s="11">
        <f>'Revenue Forecast'!I35-SUM('Revenue Forecast'!I29:I34)</f>
        <v/>
      </c>
    </row>
    <row r="19">
      <c r="A19" s="3" t="inlineStr">
        <is>
          <t>Forecast: sum of quarters = fiscal year (Revenue Forecast tab)</t>
        </is>
      </c>
    </row>
    <row r="20">
      <c r="A20" s="8" t="inlineStr"/>
      <c r="B20" s="8" t="inlineStr">
        <is>
          <t>FY2027</t>
        </is>
      </c>
      <c r="C20" s="8" t="inlineStr">
        <is>
          <t>FY2028</t>
        </is>
      </c>
    </row>
    <row r="21">
      <c r="A21" s="9" t="inlineStr">
        <is>
          <t>Variance ($mm), should be exactly 0 (true by construction)</t>
        </is>
      </c>
      <c r="B21" s="11">
        <f>'Revenue Forecast'!K35-SUM('Revenue Forecast'!B35:E35)</f>
        <v/>
      </c>
      <c r="C21" s="11">
        <f>'Revenue Forecast'!L35-SUM('Revenue Forecast'!F35:I35)</f>
        <v/>
      </c>
    </row>
    <row r="24">
      <c r="A24" s="3" t="inlineStr">
        <is>
          <t>Scenario-switch integrity: Selected scenario matches Control Panel</t>
        </is>
      </c>
    </row>
    <row r="25">
      <c r="A25" s="8" t="inlineStr">
        <is>
          <t>Driver</t>
        </is>
      </c>
      <c r="B25" s="8" t="inlineStr">
        <is>
          <t>Selected value</t>
        </is>
      </c>
      <c r="C25" s="8" t="inlineStr">
        <is>
          <t>Expected range check</t>
        </is>
      </c>
    </row>
    <row r="26">
      <c r="A26" s="9" t="inlineStr">
        <is>
          <t>OCI growth % FY27</t>
        </is>
      </c>
      <c r="B26" s="18">
        <f>'Scenario Assumptions'!I5</f>
        <v/>
      </c>
      <c r="C26" s="9">
        <f>IF(AND(B26&gt;=MIN('Scenario Assumptions'!C5:H5),B26&lt;=MAX('Scenario Assumptions'!C5:H5)),"OK - within bear-to-bull range","CHECK")</f>
        <v/>
      </c>
    </row>
    <row r="27">
      <c r="A27" s="9" t="inlineStr">
        <is>
          <t>Applications growth % FY27</t>
        </is>
      </c>
      <c r="B27" s="18">
        <f>'Scenario Assumptions'!I7</f>
        <v/>
      </c>
      <c r="C27" s="9">
        <f>IF(AND(B27&gt;=MIN('Scenario Assumptions'!C7:H7),B27&lt;=MAX('Scenario Assumptions'!C7:H7)),"OK - within bear-to-bull range","CHECK")</f>
        <v/>
      </c>
    </row>
    <row r="28">
      <c r="A28" s="9" t="inlineStr">
        <is>
          <t>GAAP gross margin % FY27</t>
        </is>
      </c>
      <c r="B28" s="18">
        <f>'Scenario Assumptions'!I11</f>
        <v/>
      </c>
      <c r="C28" s="9">
        <f>IF(AND(B28&gt;=MIN('Scenario Assumptions'!C11:H11),B28&lt;=MAX('Scenario Assumptions'!C11:H11)),"OK - within bear-to-bull range","CHECK")</f>
        <v/>
      </c>
    </row>
    <row r="29">
      <c r="A29" s="9" t="inlineStr">
        <is>
          <t>Non-GAAP operating margin % FY27</t>
        </is>
      </c>
      <c r="B29" s="18">
        <f>'Scenario Assumptions'!I13</f>
        <v/>
      </c>
      <c r="C29" s="9">
        <f>IF(AND(B29&gt;=MIN('Scenario Assumptions'!C13:H13),B29&lt;=MAX('Scenario Assumptions'!C13:H13)),"OK - within bear-to-bull range","CHECK")</f>
        <v/>
      </c>
    </row>
    <row r="32">
      <c r="A32" s="3" t="inlineStr">
        <is>
          <t>Note</t>
        </is>
      </c>
    </row>
    <row r="33" ht="60" customHeight="1">
      <c r="A33" s="7" t="inlineStr">
        <is>
          <t>This Checks tab covers what Gate 10's minimal scope actually builds: revenue-stream additivity and quarter-to-FY ties (historical and forecast), plus a scenario-switch sanity check. It does NOT yet include balance-sheet ties, cash-flow ties, or the full GAAP/non-GAAP bridge check (CHECK_090) - those require the debt/lease/capex mechanics that are Gate 12 (full build) scope. Gate 11 (model checks) should expand this tab before Gate 12 adds the balance-sheet and cash-flow schedules.</t>
        </is>
      </c>
    </row>
    <row r="36">
      <c r="A36" s="3" t="inlineStr">
        <is>
          <t>CHECK_090 — GAAP/non-GAAP bridge: (Non-GAAP OI - GAAP OI) - (SBC + Amort + Acq/Restructuring)</t>
        </is>
      </c>
    </row>
    <row r="37">
      <c r="A37" s="23" t="inlineStr">
        <is>
          <t>Period</t>
        </is>
      </c>
      <c r="B37" s="23" t="inlineStr">
        <is>
          <t>FY25_Q1</t>
        </is>
      </c>
      <c r="C37" s="23" t="inlineStr">
        <is>
          <t>FY25_Q2</t>
        </is>
      </c>
      <c r="D37" s="23" t="inlineStr">
        <is>
          <t>FY25_Q3</t>
        </is>
      </c>
      <c r="E37" s="23" t="inlineStr">
        <is>
          <t>FY25_Q4</t>
        </is>
      </c>
      <c r="F37" s="23" t="inlineStr">
        <is>
          <t>FY26_Q1</t>
        </is>
      </c>
      <c r="G37" s="23" t="inlineStr">
        <is>
          <t>FY26_Q2</t>
        </is>
      </c>
      <c r="H37" s="23" t="inlineStr">
        <is>
          <t>FY26_Q3</t>
        </is>
      </c>
      <c r="I37" s="23" t="inlineStr">
        <is>
          <t>FY26_Q4</t>
        </is>
      </c>
    </row>
    <row r="38">
      <c r="A38" s="9" t="inlineStr">
        <is>
          <t>Variance ($mm), should be ~0 (rounding tolerance $1mm)</t>
        </is>
      </c>
      <c r="B38" s="11">
        <f>('Historical Actuals'!B16-'Historical Actuals'!B15)-('Historical Actuals'!B25+'Historical Actuals'!B24+'Historical Actuals'!B26)</f>
        <v/>
      </c>
      <c r="C38" s="11">
        <f>('Historical Actuals'!C16-'Historical Actuals'!C15)-('Historical Actuals'!C25+'Historical Actuals'!C24+'Historical Actuals'!C26)</f>
        <v/>
      </c>
      <c r="D38" s="11">
        <f>('Historical Actuals'!D16-'Historical Actuals'!D15)-('Historical Actuals'!D25+'Historical Actuals'!D24+'Historical Actuals'!D26)</f>
        <v/>
      </c>
      <c r="E38" s="11">
        <f>('Historical Actuals'!E16-'Historical Actuals'!E15)-('Historical Actuals'!E25+'Historical Actuals'!E24+'Historical Actuals'!E26)</f>
        <v/>
      </c>
      <c r="F38" s="11">
        <f>('Historical Actuals'!F16-'Historical Actuals'!F15)-('Historical Actuals'!F25+'Historical Actuals'!F24+'Historical Actuals'!F26)</f>
        <v/>
      </c>
      <c r="G38" s="11">
        <f>('Historical Actuals'!G16-'Historical Actuals'!G15)-('Historical Actuals'!G25+'Historical Actuals'!G24+'Historical Actuals'!G26)</f>
        <v/>
      </c>
      <c r="H38" s="11">
        <f>('Historical Actuals'!H16-'Historical Actuals'!H15)-('Historical Actuals'!H25+'Historical Actuals'!H24+'Historical Actuals'!H26)</f>
        <v/>
      </c>
      <c r="I38" s="11">
        <f>('Historical Actuals'!I16-'Historical Actuals'!I15)-('Historical Actuals'!I25+'Historical Actuals'!I24+'Historical Actuals'!I26)</f>
        <v/>
      </c>
    </row>
    <row r="40" ht="45" customHeight="1">
      <c r="A40" s="7" t="inlineStr">
        <is>
          <t>Note: this re-derives the GAAP/non-GAAP bridge from filed reconciling items (OPEX_040/050/060/065/070) independently of how PROF_030 was originally extracted (reported directly from the release), so it is a genuine second-source check, not a tautology. Ties within $1mm rounding across all 8 historical quarters. Forecast tab does not model these reconciling items yet (Gate 12) so this check is historical-only.</t>
        </is>
      </c>
    </row>
    <row r="43">
      <c r="A43" s="3" t="inlineStr">
        <is>
          <t>CHECK_080 — Debt roll-forward: Beginning + Implied net issuance = Ending</t>
        </is>
      </c>
    </row>
    <row r="44">
      <c r="A44" s="23" t="inlineStr"/>
      <c r="B44" s="23" t="inlineStr">
        <is>
          <t>FY2027</t>
        </is>
      </c>
      <c r="C44" s="23" t="inlineStr">
        <is>
          <t>FY2028</t>
        </is>
      </c>
    </row>
    <row r="45">
      <c r="A45" s="9" t="inlineStr">
        <is>
          <t>Variance ($mm), should be exactly 0 (net issuance is defined as the plug, so this is true by construction — documents the identity, not an independent finding)</t>
        </is>
      </c>
      <c r="B45" s="11">
        <f>'Debt, Leases &amp; Cash'!$B$5+'Debt, Leases &amp; Cash'!K8-'Debt, Leases &amp; Cash'!K6</f>
        <v/>
      </c>
      <c r="C45" s="11">
        <f>'Debt, Leases &amp; Cash'!K6+'Debt, Leases &amp; Cash'!L8-'Debt, Leases &amp; Cash'!L6</f>
        <v/>
      </c>
    </row>
    <row r="48">
      <c r="A48" s="3" t="inlineStr">
        <is>
          <t>CHECK_100 — Cash tie: Beginning + Implied OCF − Net cash capex + Net debt issuance = Ending</t>
        </is>
      </c>
    </row>
    <row r="49">
      <c r="A49" s="23" t="inlineStr"/>
      <c r="B49" s="23" t="inlineStr">
        <is>
          <t>FY2027</t>
        </is>
      </c>
      <c r="C49" s="23" t="inlineStr">
        <is>
          <t>FY2028</t>
        </is>
      </c>
    </row>
    <row r="50">
      <c r="A50" s="9" t="inlineStr">
        <is>
          <t>Variance ($mm), should be exactly 0 (OCF is solved as this identity's plug — true by construction, documents the identity)</t>
        </is>
      </c>
      <c r="B50" s="11">
        <f>'Debt, Leases &amp; Cash'!$B$18+'Cash Flow &amp; Returns'!K13-'Cash Flow &amp; Returns'!K7+'Debt, Leases &amp; Cash'!K8-'Debt, Leases &amp; Cash'!K19</f>
        <v/>
      </c>
      <c r="C50" s="11">
        <f>'Debt, Leases &amp; Cash'!K19+'Cash Flow &amp; Returns'!L13-'Cash Flow &amp; Returns'!L7+'Debt, Leases &amp; Cash'!L8-'Debt, Leases &amp; Cash'!L19</f>
        <v/>
      </c>
    </row>
    <row r="53">
      <c r="A53" s="3" t="inlineStr">
        <is>
          <t>Note (Gate 12)</t>
        </is>
      </c>
    </row>
    <row r="54" ht="45" customHeight="1">
      <c r="A54" s="7" t="inlineStr">
        <is>
          <t>CHECK_080 and CHECK_100 are true by construction (the model solves for the plug that makes them tie), so a passing result confirms the formulas are wired correctly, not that the underlying forecast is realistic — that judgment lives in whether the implied OCF and net debt issuance levels look plausible against Oracle's own guidance and history, which is a Gate 13 valuation-interpretation question, not a mechanical check.</t>
        </is>
      </c>
    </row>
  </sheetData>
  <mergeCells count="4">
    <mergeCell ref="A2:K2"/>
    <mergeCell ref="A33:H33"/>
    <mergeCell ref="A54:H54"/>
    <mergeCell ref="A40:H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2026-07-21T22:01:57Z</dcterms:created>
  <dcterms:modified xmlns:dcterms="http://purl.org/dc/terms/" xmlns:xsi="http://www.w3.org/2001/XMLSchema-instance" xsi:type="dcterms:W3CDTF">2026-07-22T16:07:06Z</dcterms:modified>
</cp:coreProperties>
</file>