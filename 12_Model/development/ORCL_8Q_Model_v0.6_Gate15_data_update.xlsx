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Panel" sheetId="1" state="visible" r:id="rId1"/>
    <sheet xmlns:r="http://schemas.openxmlformats.org/officeDocument/2006/relationships" name="Historical Actuals" sheetId="2" state="visible" r:id="rId2"/>
    <sheet xmlns:r="http://schemas.openxmlformats.org/officeDocument/2006/relationships" name="Scenario Assumptions" sheetId="3" state="visible" r:id="rId3"/>
    <sheet xmlns:r="http://schemas.openxmlformats.org/officeDocument/2006/relationships" name="Revenue Forecast" sheetId="4" state="visible" r:id="rId4"/>
    <sheet xmlns:r="http://schemas.openxmlformats.org/officeDocument/2006/relationships" name="Capex &amp; Depreciation" sheetId="5" state="visible" r:id="rId5"/>
    <sheet xmlns:r="http://schemas.openxmlformats.org/officeDocument/2006/relationships" name="Debt, Leases &amp; Cash" sheetId="6" state="visible" r:id="rId6"/>
    <sheet xmlns:r="http://schemas.openxmlformats.org/officeDocument/2006/relationships" name="Equity &amp; Shares" sheetId="7" state="visible" r:id="rId7"/>
    <sheet xmlns:r="http://schemas.openxmlformats.org/officeDocument/2006/relationships" name="Margin &amp; EBITDA" sheetId="8" state="visible" r:id="rId8"/>
    <sheet xmlns:r="http://schemas.openxmlformats.org/officeDocument/2006/relationships" name="Cash Flow &amp; Returns" sheetId="9" state="visible" r:id="rId9"/>
    <sheet xmlns:r="http://schemas.openxmlformats.org/officeDocument/2006/relationships" name="Valuation (Gate 13)" sheetId="10" state="visible" r:id="rId10"/>
    <sheet xmlns:r="http://schemas.openxmlformats.org/officeDocument/2006/relationships" name="Sensitivities (Gate 14)" sheetId="11" state="visible" r:id="rId11"/>
    <sheet xmlns:r="http://schemas.openxmlformats.org/officeDocument/2006/relationships" name="Checks" sheetId="12" state="visible" r:id="rId12"/>
  </sheets>
  <definedNames/>
  <calcPr calcId="124519" fullCalcOnLoad="1"/>
</workbook>
</file>

<file path=xl/styles.xml><?xml version="1.0" encoding="utf-8"?>
<styleSheet xmlns="http://schemas.openxmlformats.org/spreadsheetml/2006/main">
  <numFmts count="6">
    <numFmt numFmtId="164" formatCode="$#,##0;($#,##0);-"/>
    <numFmt numFmtId="165" formatCode="0.0%"/>
    <numFmt numFmtId="166" formatCode="#,##0.0"/>
    <numFmt numFmtId="167" formatCode="0.0x"/>
    <numFmt numFmtId="168" formatCode="$0.00"/>
    <numFmt numFmtId="169" formatCode="0.0&quot;x&quot;"/>
  </numFmts>
  <fonts count="14">
    <font>
      <name val="Calibri"/>
      <family val="2"/>
      <color theme="1"/>
      <sz val="11"/>
      <scheme val="minor"/>
    </font>
    <font>
      <name val="Arial"/>
      <b val="1"/>
      <sz val="14"/>
    </font>
    <font>
      <name val="Arial"/>
      <i val="1"/>
      <color rgb="00666666"/>
      <sz val="9"/>
    </font>
    <font>
      <name val="Arial"/>
      <b val="1"/>
      <sz val="11"/>
    </font>
    <font>
      <name val="Arial"/>
      <b val="1"/>
    </font>
    <font>
      <name val="Arial"/>
      <color rgb="000000FF"/>
    </font>
    <font>
      <name val="Arial"/>
      <sz val="9"/>
    </font>
    <font>
      <name val="Arial"/>
      <b val="1"/>
      <color rgb="00FFFFFF"/>
    </font>
    <font>
      <name val="Arial"/>
      <color rgb="00000000"/>
    </font>
    <font>
      <name val="Arial"/>
      <color rgb="00008000"/>
    </font>
    <font>
      <name val="Arial"/>
      <i val="1"/>
      <sz val="9"/>
    </font>
    <font>
      <name val="Arial"/>
      <i val="1"/>
      <color rgb="00666666"/>
      <sz val="8"/>
    </font>
    <font>
      <name val="Arial"/>
      <b val="1"/>
      <color rgb="00CC0000"/>
    </font>
    <font>
      <name val="Arial"/>
      <i val="1"/>
    </font>
  </fonts>
  <fills count="5">
    <fill>
      <patternFill/>
    </fill>
    <fill>
      <patternFill patternType="gray125"/>
    </fill>
    <fill>
      <patternFill patternType="solid">
        <fgColor rgb="00FFFF00"/>
      </patternFill>
    </fill>
    <fill>
      <patternFill patternType="solid">
        <fgColor rgb="001F4E78"/>
      </patternFill>
    </fill>
    <fill>
      <patternFill patternType="solid">
        <fgColor rgb="00D9D9D9"/>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pivotButton="0" quotePrefix="0" xfId="0"/>
    <xf numFmtId="0" fontId="6" fillId="0" borderId="0" applyAlignment="1" pivotButton="0" quotePrefix="0" xfId="0">
      <alignment wrapText="1"/>
    </xf>
    <xf numFmtId="0" fontId="2" fillId="0" borderId="0" applyAlignment="1" pivotButton="0" quotePrefix="0" xfId="0">
      <alignment wrapText="1"/>
    </xf>
    <xf numFmtId="0" fontId="7" fillId="3" borderId="1" applyAlignment="1" pivotButton="0" quotePrefix="0" xfId="0">
      <alignment horizontal="center" wrapText="1"/>
    </xf>
    <xf numFmtId="0" fontId="8" fillId="0" borderId="0" pivotButton="0" quotePrefix="0" xfId="0"/>
    <xf numFmtId="164" fontId="5" fillId="0" borderId="0" pivotButton="0" quotePrefix="0" xfId="0"/>
    <xf numFmtId="164" fontId="8" fillId="0" borderId="0" pivotButton="0" quotePrefix="0" xfId="0"/>
    <xf numFmtId="164" fontId="4" fillId="0" borderId="0" pivotButton="0" quotePrefix="0" xfId="0"/>
    <xf numFmtId="165" fontId="8" fillId="0" borderId="0" pivotButton="0" quotePrefix="0" xfId="0"/>
    <xf numFmtId="165" fontId="5" fillId="0" borderId="0" pivotButton="0" quotePrefix="0" xfId="0"/>
    <xf numFmtId="165" fontId="4" fillId="4" borderId="0" pivotButton="0" quotePrefix="0" xfId="0"/>
    <xf numFmtId="166" fontId="5" fillId="0" borderId="0" pivotButton="0" quotePrefix="0" xfId="0"/>
    <xf numFmtId="166" fontId="4" fillId="4" borderId="0" pivotButton="0" quotePrefix="0" xfId="0"/>
    <xf numFmtId="165" fontId="9" fillId="0" borderId="0" pivotButton="0" quotePrefix="0" xfId="0"/>
    <xf numFmtId="0" fontId="10" fillId="0" borderId="0" pivotButton="0" quotePrefix="0" xfId="0"/>
    <xf numFmtId="164" fontId="9" fillId="0" borderId="0" pivotButton="0" quotePrefix="0" xfId="0"/>
    <xf numFmtId="164" fontId="10" fillId="0" borderId="0" pivotButton="0" quotePrefix="0" xfId="0"/>
    <xf numFmtId="0" fontId="11" fillId="0" borderId="0" pivotButton="0" quotePrefix="0" xfId="0"/>
    <xf numFmtId="0" fontId="7" fillId="3" borderId="0" applyAlignment="1" pivotButton="0" quotePrefix="0" xfId="0">
      <alignment horizontal="center" wrapText="1"/>
    </xf>
    <xf numFmtId="3" fontId="5" fillId="0" borderId="0" pivotButton="0" quotePrefix="0" xfId="0"/>
    <xf numFmtId="3" fontId="9" fillId="0" borderId="0" pivotButton="0" quotePrefix="0" xfId="0"/>
    <xf numFmtId="3" fontId="8" fillId="0" borderId="0" pivotButton="0" quotePrefix="0" xfId="0"/>
    <xf numFmtId="3" fontId="10" fillId="0" borderId="0" pivotButton="0" quotePrefix="0" xfId="0"/>
    <xf numFmtId="167" fontId="4" fillId="0" borderId="0" pivotButton="0" quotePrefix="0" xfId="0"/>
    <xf numFmtId="168" fontId="4" fillId="0" borderId="0" pivotButton="0" quotePrefix="0" xfId="0"/>
    <xf numFmtId="0" fontId="9" fillId="0" borderId="0" pivotButton="0" quotePrefix="0" xfId="0"/>
    <xf numFmtId="168" fontId="9" fillId="0" borderId="0" pivotButton="0" quotePrefix="0" xfId="0"/>
    <xf numFmtId="0" fontId="0" fillId="2" borderId="0" pivotButton="0" quotePrefix="0" xfId="0"/>
    <xf numFmtId="0" fontId="12" fillId="0" borderId="0" pivotButton="0" quotePrefix="0" xfId="0"/>
    <xf numFmtId="164" fontId="13" fillId="0" borderId="0" pivotButton="0" quotePrefix="0" xfId="0"/>
    <xf numFmtId="168" fontId="13" fillId="0" borderId="0" pivotButton="0" quotePrefix="0" xfId="0"/>
    <xf numFmtId="169" fontId="8" fillId="0" borderId="0" pivotButton="0" quotePrefix="0" xfId="0"/>
    <xf numFmtId="168" fontId="12" fillId="0" borderId="0" pivotButton="0" quotePrefix="0" xfId="0"/>
    <xf numFmtId="169" fontId="5"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showGridLines="0" workbookViewId="0">
      <selection activeCell="A1" sqref="A1"/>
    </sheetView>
  </sheetViews>
  <sheetFormatPr baseColWidth="8" defaultRowHeight="15"/>
  <cols>
    <col width="32" customWidth="1" min="1" max="1"/>
    <col width="22" customWidth="1" min="2" max="2"/>
    <col width="60" customWidth="1" min="3" max="3"/>
  </cols>
  <sheetData>
    <row r="1">
      <c r="A1" s="1" t="inlineStr">
        <is>
          <t>ORCL Eight-Quarter Model — Control Panel</t>
        </is>
      </c>
    </row>
    <row r="2">
      <c r="A2" s="2" t="inlineStr">
        <is>
          <t>Gate 10 minimal build — 2026-07-21. Scenario ranges per D-020 (Gate 8, ratified); driver mechanics per Gate 7 (11_Analysis/forecast/GATE7_FORECAST_DRIVER_DESIGN.md).</t>
        </is>
      </c>
    </row>
    <row r="4">
      <c r="A4" s="3" t="inlineStr">
        <is>
          <t>Scenario selector</t>
        </is>
      </c>
    </row>
    <row r="5">
      <c r="A5" s="4" t="inlineStr">
        <is>
          <t>Selected scenario</t>
        </is>
      </c>
      <c r="B5" s="5" t="inlineStr">
        <is>
          <t>Base</t>
        </is>
      </c>
      <c r="C5" s="2" t="inlineStr">
        <is>
          <t>Choose Bear / Base / Bull — drives every scenario-switched cell in the model</t>
        </is>
      </c>
    </row>
    <row r="7">
      <c r="A7" s="3" t="inlineStr">
        <is>
          <t>Valuation-date selector (informational, Gate 13 uses this)</t>
        </is>
      </c>
    </row>
    <row r="8">
      <c r="A8" s="4" t="inlineStr">
        <is>
          <t>Selected valuation date</t>
        </is>
      </c>
      <c r="B8" s="5" t="inlineStr">
        <is>
          <t>FY27 Q1 (2026-09-10)</t>
        </is>
      </c>
    </row>
    <row r="10">
      <c r="A10" s="3" t="inlineStr">
        <is>
          <t>Key model references</t>
        </is>
      </c>
    </row>
    <row r="11">
      <c r="A11" s="4" t="inlineStr">
        <is>
          <t>Historical dataset</t>
        </is>
      </c>
      <c r="B11" s="6" t="inlineStr">
        <is>
          <t>10_Working_Data/raw_extractions/orcl_historical_quarterly_full.csv (Gate 6, verified zero discrepancies)</t>
        </is>
      </c>
    </row>
    <row r="12">
      <c r="A12" s="4" t="inlineStr">
        <is>
          <t>EBITDA definition</t>
        </is>
      </c>
      <c r="B12" s="6" t="inlineStr">
        <is>
          <t>D-014, ratified — GAAP operating income + CF depreciation + amortization of intangibles, no SBC add-back</t>
        </is>
      </c>
    </row>
    <row r="13">
      <c r="A13" s="4" t="inlineStr">
        <is>
          <t>Scenario ranges</t>
        </is>
      </c>
      <c r="B13" s="6" t="inlineStr">
        <is>
          <t>D-020, ratified (Gate 8) — see 'Scenario Assumptions' tab</t>
        </is>
      </c>
    </row>
    <row r="14">
      <c r="A14" s="4" t="inlineStr">
        <is>
          <t>Driver mechanics</t>
        </is>
      </c>
      <c r="B14" s="6" t="inlineStr">
        <is>
          <t>11_Analysis/forecast/GATE7_FORECAST_DRIVER_DESIGN.md (Gate 7)</t>
        </is>
      </c>
    </row>
    <row r="15">
      <c r="A15" s="4" t="inlineStr">
        <is>
          <t>Comps methodology</t>
        </is>
      </c>
      <c r="B15" s="6" t="inlineStr">
        <is>
          <t>D-021, ratified (Gate 9) — EV/NTM EBITDA primary; multiples NOT yet assigned, pending Q-08/C-09</t>
        </is>
      </c>
    </row>
    <row r="17">
      <c r="A17" s="3" t="inlineStr">
        <is>
          <t>Scope note</t>
        </is>
      </c>
    </row>
    <row r="18" ht="45" customHeight="1">
      <c r="A18" s="7" t="inlineStr">
        <is>
          <t>This is a MINIMAL build (Gate 10): historical actuals, revenue-stream forecast with scenario switching, top-down margin/EBITDA, and integrity checks. Debt/lease/ATM-dilution mechanics, the capacity index (D-019), and per-share valuation output are Gate 12 (full build) / Gate 13 (valuation) scope — not built here.</t>
        </is>
      </c>
    </row>
  </sheetData>
  <mergeCells count="7">
    <mergeCell ref="B13:C13"/>
    <mergeCell ref="B15:C15"/>
    <mergeCell ref="B11:C11"/>
    <mergeCell ref="A18:C18"/>
    <mergeCell ref="B14:C14"/>
    <mergeCell ref="A2:C2"/>
    <mergeCell ref="B12:C12"/>
  </mergeCells>
  <dataValidations count="2">
    <dataValidation sqref="B5" showDropDown="0" showInputMessage="0" showErrorMessage="0" allowBlank="0" type="list">
      <formula1>"Bear,Base,Bull"</formula1>
    </dataValidation>
    <dataValidation sqref="B8" showDropDown="0" showInputMessage="0" showErrorMessage="0" allowBlank="0" type="list">
      <formula1>"FY27 Q1 (2026-09-10),FY27 Q2 (est. Dec 2026),FY27 Q3 (est. Mar 2027),FY27 Q4 (est. Jun 2027)"</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3"/>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4" customWidth="1" min="10" max="10"/>
    <col width="11" customWidth="1" min="11" max="11"/>
    <col width="11" customWidth="1" min="12" max="12"/>
  </cols>
  <sheetData>
    <row r="1">
      <c r="A1" s="1" t="inlineStr">
        <is>
          <t>Historical Actuals — FY2025 Q1 through FY2026 Q4</t>
        </is>
      </c>
    </row>
    <row r="2">
      <c r="A2" s="2" t="inlineStr">
        <is>
          <t>Source: orcl_historical_quarterly_full.csv / _full_provenance.csv (Gate 6, cross-document verified, zero discrepancies). USD millions unless noted.</t>
        </is>
      </c>
    </row>
    <row r="4">
      <c r="A4" s="8" t="inlineStr">
        <is>
          <t>Field (USD $mm)</t>
        </is>
      </c>
      <c r="B4" s="8" t="inlineStr">
        <is>
          <t>FY25_Q1</t>
        </is>
      </c>
      <c r="C4" s="8" t="inlineStr">
        <is>
          <t>FY25_Q2</t>
        </is>
      </c>
      <c r="D4" s="8" t="inlineStr">
        <is>
          <t>FY25_Q3</t>
        </is>
      </c>
      <c r="E4" s="8" t="inlineStr">
        <is>
          <t>FY25_Q4</t>
        </is>
      </c>
      <c r="F4" s="8" t="inlineStr">
        <is>
          <t>FY26_Q1</t>
        </is>
      </c>
      <c r="G4" s="8" t="inlineStr">
        <is>
          <t>FY26_Q2</t>
        </is>
      </c>
      <c r="H4" s="8" t="inlineStr">
        <is>
          <t>FY26_Q3</t>
        </is>
      </c>
      <c r="I4" s="8" t="inlineStr">
        <is>
          <t>FY26_Q4</t>
        </is>
      </c>
      <c r="J4" s="8" t="inlineStr"/>
      <c r="K4" s="8" t="inlineStr">
        <is>
          <t>FY2025</t>
        </is>
      </c>
      <c r="L4" s="8" t="inlineStr">
        <is>
          <t>FY2026</t>
        </is>
      </c>
    </row>
    <row r="5">
      <c r="A5" s="9" t="inlineStr">
        <is>
          <t>REV_310 — OCI revenue</t>
        </is>
      </c>
      <c r="B5" s="10" t="n">
        <v>2154</v>
      </c>
      <c r="C5" s="10" t="n">
        <v>2434</v>
      </c>
      <c r="D5" s="10" t="n">
        <v>2652</v>
      </c>
      <c r="E5" s="10" t="n">
        <v>2995</v>
      </c>
      <c r="F5" s="10" t="n">
        <v>3347</v>
      </c>
      <c r="G5" s="10" t="n">
        <v>4079</v>
      </c>
      <c r="H5" s="10" t="n">
        <v>4888</v>
      </c>
      <c r="I5" s="10" t="n">
        <v>5787</v>
      </c>
      <c r="K5" s="11">
        <f>SUM(B5:E5)</f>
        <v/>
      </c>
      <c r="L5" s="11">
        <f>SUM(F5:I5)</f>
        <v/>
      </c>
    </row>
    <row r="6">
      <c r="A6" s="9" t="inlineStr">
        <is>
          <t>REV_320 — Cloud applications revenue</t>
        </is>
      </c>
      <c r="B6" s="10" t="n">
        <v>3469</v>
      </c>
      <c r="C6" s="10" t="n">
        <v>3503</v>
      </c>
      <c r="D6" s="10" t="n">
        <v>3558</v>
      </c>
      <c r="E6" s="10" t="n">
        <v>3742</v>
      </c>
      <c r="F6" s="10" t="n">
        <v>3839</v>
      </c>
      <c r="G6" s="10" t="n">
        <v>3898</v>
      </c>
      <c r="H6" s="10" t="n">
        <v>4026</v>
      </c>
      <c r="I6" s="10" t="n">
        <v>4126</v>
      </c>
      <c r="K6" s="11">
        <f>SUM(B6:E6)</f>
        <v/>
      </c>
      <c r="L6" s="11">
        <f>SUM(F6:I6)</f>
        <v/>
      </c>
    </row>
    <row r="7">
      <c r="A7" s="9" t="inlineStr">
        <is>
          <t>REV_330 — Software support revenue</t>
        </is>
      </c>
      <c r="B7" s="10" t="n">
        <v>4896</v>
      </c>
      <c r="C7" s="10" t="n">
        <v>4869</v>
      </c>
      <c r="D7" s="10" t="n">
        <v>4797</v>
      </c>
      <c r="E7" s="10" t="n">
        <v>4961</v>
      </c>
      <c r="F7" s="10" t="n">
        <v>4955</v>
      </c>
      <c r="G7" s="10" t="n">
        <v>4938</v>
      </c>
      <c r="H7" s="10" t="n">
        <v>4969</v>
      </c>
      <c r="I7" s="10" t="n">
        <v>4943</v>
      </c>
      <c r="K7" s="11">
        <f>SUM(B7:E7)</f>
        <v/>
      </c>
      <c r="L7" s="11">
        <f>SUM(F7:I7)</f>
        <v/>
      </c>
    </row>
    <row r="8">
      <c r="A8" s="9" t="inlineStr">
        <is>
          <t>REV_340 — Software license revenue</t>
        </is>
      </c>
      <c r="B8" s="10" t="n">
        <v>870</v>
      </c>
      <c r="C8" s="10" t="n">
        <v>1195</v>
      </c>
      <c r="D8" s="10" t="n">
        <v>1129</v>
      </c>
      <c r="E8" s="10" t="n">
        <v>2007</v>
      </c>
      <c r="F8" s="10" t="n">
        <v>766</v>
      </c>
      <c r="G8" s="10" t="n">
        <v>939</v>
      </c>
      <c r="H8" s="10" t="n">
        <v>1150</v>
      </c>
      <c r="I8" s="10" t="n">
        <v>1881</v>
      </c>
      <c r="K8" s="11">
        <f>SUM(B8:E8)</f>
        <v/>
      </c>
      <c r="L8" s="11">
        <f>SUM(F8:I8)</f>
        <v/>
      </c>
    </row>
    <row r="9">
      <c r="A9" s="9" t="inlineStr">
        <is>
          <t>REV_350 — Hardware revenue</t>
        </is>
      </c>
      <c r="B9" s="10" t="n">
        <v>655</v>
      </c>
      <c r="C9" s="10" t="n">
        <v>728</v>
      </c>
      <c r="D9" s="10" t="n">
        <v>703</v>
      </c>
      <c r="E9" s="10" t="n">
        <v>850</v>
      </c>
      <c r="F9" s="10" t="n">
        <v>670</v>
      </c>
      <c r="G9" s="10" t="n">
        <v>776</v>
      </c>
      <c r="H9" s="10" t="n">
        <v>714</v>
      </c>
      <c r="I9" s="10" t="n">
        <v>924</v>
      </c>
      <c r="K9" s="11">
        <f>SUM(B9:E9)</f>
        <v/>
      </c>
      <c r="L9" s="11">
        <f>SUM(F9:I9)</f>
        <v/>
      </c>
    </row>
    <row r="10">
      <c r="A10" s="9" t="inlineStr">
        <is>
          <t>REV_360 — Services revenue</t>
        </is>
      </c>
      <c r="B10" s="10" t="n">
        <v>1263</v>
      </c>
      <c r="C10" s="10" t="n">
        <v>1330</v>
      </c>
      <c r="D10" s="10" t="n">
        <v>1291</v>
      </c>
      <c r="E10" s="10" t="n">
        <v>1348</v>
      </c>
      <c r="F10" s="10" t="n">
        <v>1349</v>
      </c>
      <c r="G10" s="10" t="n">
        <v>1428</v>
      </c>
      <c r="H10" s="10" t="n">
        <v>1443</v>
      </c>
      <c r="I10" s="10" t="n">
        <v>1523</v>
      </c>
      <c r="K10" s="11">
        <f>SUM(B10:E10)</f>
        <v/>
      </c>
      <c r="L10" s="11">
        <f>SUM(F10:I10)</f>
        <v/>
      </c>
    </row>
    <row r="11">
      <c r="A11" s="4" t="inlineStr">
        <is>
          <t>REV_370 — Total revenue (sum of six streams)</t>
        </is>
      </c>
      <c r="B11" s="12">
        <f>SUM(B5:B10)</f>
        <v/>
      </c>
      <c r="C11" s="12">
        <f>SUM(C5:C10)</f>
        <v/>
      </c>
      <c r="D11" s="12">
        <f>SUM(D5:D10)</f>
        <v/>
      </c>
      <c r="E11" s="12">
        <f>SUM(E5:E10)</f>
        <v/>
      </c>
      <c r="F11" s="12">
        <f>SUM(F5:F10)</f>
        <v/>
      </c>
      <c r="G11" s="12">
        <f>SUM(G5:G10)</f>
        <v/>
      </c>
      <c r="H11" s="12">
        <f>SUM(H5:H10)</f>
        <v/>
      </c>
      <c r="I11" s="12">
        <f>SUM(I5:I10)</f>
        <v/>
      </c>
      <c r="K11" s="12">
        <f>SUM(K5:K10)</f>
        <v/>
      </c>
      <c r="L11" s="12">
        <f>SUM(L5:L10)</f>
        <v/>
      </c>
    </row>
    <row r="13">
      <c r="A13" s="3" t="inlineStr">
        <is>
          <t>Supplemental P&amp;L (for margin/EBITDA reference)</t>
        </is>
      </c>
    </row>
    <row r="14">
      <c r="A14" s="9" t="inlineStr">
        <is>
          <t>COGS_050 — Gross profit (GAAP, calculated)</t>
        </is>
      </c>
      <c r="B14" s="10" t="n">
        <v>9401</v>
      </c>
      <c r="C14" s="10" t="n">
        <v>9974</v>
      </c>
      <c r="D14" s="10" t="n">
        <v>9935</v>
      </c>
      <c r="E14" s="10" t="n">
        <v>11163</v>
      </c>
      <c r="F14" s="10" t="n">
        <v>10042</v>
      </c>
      <c r="G14" s="10" t="n">
        <v>10704</v>
      </c>
      <c r="H14" s="10" t="n">
        <v>11098</v>
      </c>
      <c r="I14" s="10" t="n">
        <v>12512</v>
      </c>
      <c r="K14" s="11">
        <f>SUM(B14:E14)</f>
        <v/>
      </c>
      <c r="L14" s="11">
        <f>SUM(F14:I14)</f>
        <v/>
      </c>
    </row>
    <row r="15">
      <c r="A15" s="9" t="inlineStr">
        <is>
          <t>PROF_010 — GAAP operating income</t>
        </is>
      </c>
      <c r="B15" s="10" t="n">
        <v>3991</v>
      </c>
      <c r="C15" s="10" t="n">
        <v>4220</v>
      </c>
      <c r="D15" s="10" t="n">
        <v>4358</v>
      </c>
      <c r="E15" s="10" t="n">
        <v>5109</v>
      </c>
      <c r="F15" s="10" t="n">
        <v>4277</v>
      </c>
      <c r="G15" s="10" t="n">
        <v>4731</v>
      </c>
      <c r="H15" s="10" t="n">
        <v>5464</v>
      </c>
      <c r="I15" s="10" t="n">
        <v>6133</v>
      </c>
      <c r="K15" s="11">
        <f>SUM(B15:E15)</f>
        <v/>
      </c>
      <c r="L15" s="11">
        <f>SUM(F15:I15)</f>
        <v/>
      </c>
    </row>
    <row r="16">
      <c r="A16" s="9" t="inlineStr">
        <is>
          <t>PROF_030 — Non-GAAP operating income</t>
        </is>
      </c>
      <c r="B16" s="10" t="n">
        <v>5708</v>
      </c>
      <c r="C16" s="10" t="n">
        <v>6096</v>
      </c>
      <c r="D16" s="10" t="n">
        <v>6195</v>
      </c>
      <c r="E16" s="10" t="n">
        <v>7035</v>
      </c>
      <c r="F16" s="10" t="n">
        <v>6236</v>
      </c>
      <c r="G16" s="10" t="n">
        <v>6721</v>
      </c>
      <c r="H16" s="10" t="n">
        <v>7378</v>
      </c>
      <c r="I16" s="10" t="n">
        <v>8590</v>
      </c>
      <c r="K16" s="11">
        <f>SUM(B16:E16)</f>
        <v/>
      </c>
      <c r="L16" s="11">
        <f>SUM(F16:I16)</f>
        <v/>
      </c>
    </row>
    <row r="17">
      <c r="A17" s="9" t="inlineStr">
        <is>
          <t>PROF_160 — EBITDA (D-014 definition, ratified)</t>
        </is>
      </c>
      <c r="B17" s="10" t="n">
        <v>5439</v>
      </c>
      <c r="C17" s="10" t="n">
        <v>5719</v>
      </c>
      <c r="D17" s="10" t="n">
        <v>5909</v>
      </c>
      <c r="E17" s="10" t="n">
        <v>6805</v>
      </c>
      <c r="F17" s="10" t="n">
        <v>6048</v>
      </c>
      <c r="G17" s="10" t="n">
        <v>6842</v>
      </c>
      <c r="H17" s="10" t="n">
        <v>8030</v>
      </c>
      <c r="I17" s="10" t="n">
        <v>8980</v>
      </c>
      <c r="K17" s="11">
        <f>SUM(B17:E17)</f>
        <v/>
      </c>
      <c r="L17" s="11">
        <f>SUM(F17:I17)</f>
        <v/>
      </c>
    </row>
    <row r="19">
      <c r="A19" s="9" t="inlineStr">
        <is>
          <t>GAAP gross margin % (=Gross profit / Total revenue)</t>
        </is>
      </c>
      <c r="B19" s="13">
        <f>B14/B11</f>
        <v/>
      </c>
      <c r="C19" s="13">
        <f>C14/C11</f>
        <v/>
      </c>
      <c r="D19" s="13">
        <f>D14/D11</f>
        <v/>
      </c>
      <c r="E19" s="13">
        <f>E14/E11</f>
        <v/>
      </c>
      <c r="F19" s="13">
        <f>F14/F11</f>
        <v/>
      </c>
      <c r="G19" s="13">
        <f>G14/G11</f>
        <v/>
      </c>
      <c r="H19" s="13">
        <f>H14/H11</f>
        <v/>
      </c>
      <c r="I19" s="13">
        <f>I14/I11</f>
        <v/>
      </c>
    </row>
    <row r="20">
      <c r="A20" s="9" t="inlineStr">
        <is>
          <t>GAAP operating margin % (=Op income / Total revenue)</t>
        </is>
      </c>
      <c r="B20" s="13">
        <f>B15/B11</f>
        <v/>
      </c>
      <c r="C20" s="13">
        <f>C15/C11</f>
        <v/>
      </c>
      <c r="D20" s="13">
        <f>D15/D11</f>
        <v/>
      </c>
      <c r="E20" s="13">
        <f>E15/E11</f>
        <v/>
      </c>
      <c r="F20" s="13">
        <f>F15/F11</f>
        <v/>
      </c>
      <c r="G20" s="13">
        <f>G15/G11</f>
        <v/>
      </c>
      <c r="H20" s="13">
        <f>H15/H11</f>
        <v/>
      </c>
      <c r="I20" s="13">
        <f>I15/I11</f>
        <v/>
      </c>
    </row>
    <row r="21">
      <c r="A21" s="9" t="inlineStr">
        <is>
          <t>Non-GAAP operating margin % (=Non-GAAP op income / Total revenue)</t>
        </is>
      </c>
      <c r="B21" s="13">
        <f>B16/B11</f>
        <v/>
      </c>
      <c r="C21" s="13">
        <f>C16/C11</f>
        <v/>
      </c>
      <c r="D21" s="13">
        <f>D16/D11</f>
        <v/>
      </c>
      <c r="E21" s="13">
        <f>E16/E11</f>
        <v/>
      </c>
      <c r="F21" s="13">
        <f>F16/F11</f>
        <v/>
      </c>
      <c r="G21" s="13">
        <f>G16/G11</f>
        <v/>
      </c>
      <c r="H21" s="13">
        <f>H16/H11</f>
        <v/>
      </c>
      <c r="I21" s="13">
        <f>I16/I11</f>
        <v/>
      </c>
    </row>
    <row r="23">
      <c r="A23" s="3" t="inlineStr">
        <is>
          <t>GAAP/non-GAAP bridge components (for CHECK_090)</t>
        </is>
      </c>
    </row>
    <row r="24">
      <c r="A24" s="9" t="inlineStr">
        <is>
          <t>OPEX_040 — Amortization of intangible assets</t>
        </is>
      </c>
      <c r="B24" s="10" t="n">
        <v>624</v>
      </c>
      <c r="C24" s="10" t="n">
        <v>591</v>
      </c>
      <c r="D24" s="10" t="n">
        <v>548</v>
      </c>
      <c r="E24" s="10" t="n">
        <v>544</v>
      </c>
      <c r="F24" s="10" t="n">
        <v>420</v>
      </c>
      <c r="G24" s="10" t="n">
        <v>407</v>
      </c>
      <c r="H24" s="10" t="n">
        <v>413</v>
      </c>
      <c r="I24" s="10" t="n">
        <v>431</v>
      </c>
    </row>
    <row r="25">
      <c r="A25" s="9" t="inlineStr">
        <is>
          <t>OPEX_070 — Stock-based compensation (total)</t>
        </is>
      </c>
      <c r="B25" s="10" t="n">
        <v>1007</v>
      </c>
      <c r="C25" s="10" t="n">
        <v>1169</v>
      </c>
      <c r="D25" s="10" t="n">
        <v>1198</v>
      </c>
      <c r="E25" s="10" t="n">
        <v>1299</v>
      </c>
      <c r="F25" s="10" t="n">
        <v>1124</v>
      </c>
      <c r="G25" s="10" t="n">
        <v>1156</v>
      </c>
      <c r="H25" s="10" t="n">
        <v>1328</v>
      </c>
      <c r="I25" s="10" t="n">
        <v>1203</v>
      </c>
    </row>
    <row r="26">
      <c r="A26" s="9" t="inlineStr">
        <is>
          <t>Acquisition-related + restructuring (combined; OPEX_050+060, or OPEX_065 where combined-caption)</t>
        </is>
      </c>
      <c r="B26" s="10" t="n">
        <v>86</v>
      </c>
      <c r="C26" s="10" t="n">
        <v>115</v>
      </c>
      <c r="D26" s="10" t="n">
        <v>91</v>
      </c>
      <c r="E26" s="10" t="n">
        <v>83</v>
      </c>
      <c r="F26" s="10" t="n">
        <v>415</v>
      </c>
      <c r="G26" s="10" t="n">
        <v>427</v>
      </c>
      <c r="H26" s="10" t="n">
        <v>173</v>
      </c>
      <c r="I26" s="10" t="n">
        <v>823</v>
      </c>
    </row>
    <row r="28">
      <c r="A28" s="3" t="inlineStr">
        <is>
          <t>Debt, cash &amp; lease anchors (for Debt/Leases/Cash tab)</t>
        </is>
      </c>
    </row>
    <row r="29">
      <c r="A29" s="9" t="inlineStr">
        <is>
          <t>DEBT_030 — Gross debt</t>
        </is>
      </c>
      <c r="B29" s="10" t="n">
        <v>84515</v>
      </c>
      <c r="C29" s="10" t="n">
        <v>88624</v>
      </c>
      <c r="D29" s="10" t="n">
        <v>96276</v>
      </c>
      <c r="E29" s="10" t="n">
        <v>92568</v>
      </c>
      <c r="F29" s="10" t="n">
        <v>91315</v>
      </c>
      <c r="G29" s="10" t="n">
        <v>108075</v>
      </c>
      <c r="H29" s="10" t="n">
        <v>134605</v>
      </c>
      <c r="I29" s="10" t="n">
        <v>129541</v>
      </c>
    </row>
    <row r="30">
      <c r="A30" s="9" t="inlineStr">
        <is>
          <t>BS_010 — Cash and cash equivalents</t>
        </is>
      </c>
      <c r="B30" s="10" t="n">
        <v>10616</v>
      </c>
      <c r="C30" s="10" t="n">
        <v>10941</v>
      </c>
      <c r="D30" s="10" t="n">
        <v>17406</v>
      </c>
      <c r="E30" s="10" t="n">
        <v>10786</v>
      </c>
      <c r="F30" s="10" t="n">
        <v>10445</v>
      </c>
      <c r="G30" s="10" t="n">
        <v>19241</v>
      </c>
      <c r="H30" s="10" t="n">
        <v>38455</v>
      </c>
      <c r="I30" s="10" t="n">
        <v>31289</v>
      </c>
    </row>
    <row r="31">
      <c r="A31" s="9" t="inlineStr">
        <is>
          <t>DEBT_050 — Operating lease liabilities, current</t>
        </is>
      </c>
      <c r="B31" s="10" t="n"/>
      <c r="C31" s="10" t="n"/>
      <c r="D31" s="10" t="n"/>
      <c r="E31" s="10" t="n">
        <v>1914</v>
      </c>
      <c r="F31" s="10" t="n">
        <v>2196</v>
      </c>
      <c r="G31" s="10" t="n">
        <v>2368</v>
      </c>
      <c r="H31" s="10" t="n">
        <v>2798</v>
      </c>
      <c r="I31" s="10" t="n">
        <v>3542</v>
      </c>
    </row>
    <row r="32">
      <c r="A32" s="9" t="inlineStr">
        <is>
          <t>DEBT_060 — Operating lease liabilities, noncurrent</t>
        </is>
      </c>
      <c r="B32" s="10" t="n"/>
      <c r="C32" s="10" t="n"/>
      <c r="D32" s="10" t="n"/>
      <c r="E32" s="10" t="n">
        <v>11536</v>
      </c>
      <c r="F32" s="10" t="n">
        <v>14094</v>
      </c>
      <c r="G32" s="10" t="n">
        <v>16311</v>
      </c>
      <c r="H32" s="10" t="n">
        <v>18512</v>
      </c>
      <c r="I32" s="10" t="n">
        <v>26648</v>
      </c>
    </row>
    <row r="33">
      <c r="A33" s="9" t="inlineStr">
        <is>
          <t>SHARE_020 — Diluted weighted-average shares (mm)</t>
        </is>
      </c>
      <c r="B33" s="24" t="n">
        <v>2851</v>
      </c>
      <c r="C33" s="24" t="n">
        <v>2869</v>
      </c>
      <c r="D33" s="24" t="n">
        <v>2874</v>
      </c>
      <c r="E33" s="24" t="n">
        <v>2871</v>
      </c>
      <c r="F33" s="24" t="n">
        <v>2909</v>
      </c>
      <c r="G33" s="24" t="n">
        <v>2922</v>
      </c>
      <c r="H33" s="24" t="n">
        <v>2912</v>
      </c>
      <c r="I33" s="24" t="n">
        <v>2915</v>
      </c>
    </row>
  </sheetData>
  <mergeCells count="1">
    <mergeCell ref="A2:K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7"/>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9" customWidth="1" min="2" max="2"/>
    <col width="11" customWidth="1" min="3" max="3"/>
    <col width="11" customWidth="1" min="4" max="4"/>
    <col width="11" customWidth="1" min="5" max="5"/>
    <col width="11" customWidth="1" min="6" max="6"/>
    <col width="11" customWidth="1" min="7" max="7"/>
    <col width="11" customWidth="1" min="8" max="8"/>
    <col width="12" customWidth="1" min="9" max="9"/>
    <col width="34" customWidth="1" min="10" max="10"/>
  </cols>
  <sheetData>
    <row r="1">
      <c r="A1" s="1" t="inlineStr">
        <is>
          <t>Scenario Assumptions — D-020 (Gate 8, ratified 2026-07-21)</t>
        </is>
      </c>
    </row>
    <row r="2">
      <c r="A2" s="2" t="inlineStr">
        <is>
          <t>Ranges reproduced verbatim from decision_log.md D-020. 'Selected' pulls the MIDPOINT of the scenario chosen on the Control Panel tab.</t>
        </is>
      </c>
    </row>
    <row r="4">
      <c r="A4" s="8" t="inlineStr">
        <is>
          <t>Driver</t>
        </is>
      </c>
      <c r="B4" s="8" t="inlineStr">
        <is>
          <t>FY</t>
        </is>
      </c>
      <c r="C4" s="8" t="inlineStr">
        <is>
          <t>Bear low</t>
        </is>
      </c>
      <c r="D4" s="8" t="inlineStr">
        <is>
          <t>Bear high</t>
        </is>
      </c>
      <c r="E4" s="8" t="inlineStr">
        <is>
          <t>Base low</t>
        </is>
      </c>
      <c r="F4" s="8" t="inlineStr">
        <is>
          <t>Base high</t>
        </is>
      </c>
      <c r="G4" s="8" t="inlineStr">
        <is>
          <t>Bull low</t>
        </is>
      </c>
      <c r="H4" s="8" t="inlineStr">
        <is>
          <t>Bull high</t>
        </is>
      </c>
      <c r="I4" s="8" t="inlineStr">
        <is>
          <t>Selected (mid)</t>
        </is>
      </c>
      <c r="J4" s="8" t="inlineStr">
        <is>
          <t>Wired into Gate 10 forecast?</t>
        </is>
      </c>
    </row>
    <row r="5">
      <c r="A5" s="9" t="inlineStr">
        <is>
          <t>OCI growth %</t>
        </is>
      </c>
      <c r="B5" s="9" t="inlineStr">
        <is>
          <t>FY27</t>
        </is>
      </c>
      <c r="C5" s="14" t="n">
        <v>0.88</v>
      </c>
      <c r="D5" s="14" t="n">
        <v>0.98</v>
      </c>
      <c r="E5" s="14" t="n">
        <v>1.12</v>
      </c>
      <c r="F5" s="14" t="n">
        <v>1.18</v>
      </c>
      <c r="G5" s="14" t="n">
        <v>1.3</v>
      </c>
      <c r="H5" s="14" t="n">
        <v>1.4</v>
      </c>
      <c r="I5" s="15">
        <f>IF('Control Panel'!$B$5="Bear",AVERAGE(C5:D5),IF('Control Panel'!$B$5="Base",AVERAGE(E5:F5),AVERAGE(G5:H5)))</f>
        <v/>
      </c>
      <c r="J5" s="2" t="inlineStr">
        <is>
          <t>Yes — Revenue Forecast tab</t>
        </is>
      </c>
    </row>
    <row r="6">
      <c r="A6" s="9" t="inlineStr">
        <is>
          <t>OCI growth %</t>
        </is>
      </c>
      <c r="B6" s="9" t="inlineStr">
        <is>
          <t>FY28</t>
        </is>
      </c>
      <c r="C6" s="14" t="n">
        <v>0.5</v>
      </c>
      <c r="D6" s="14" t="n">
        <v>0.65</v>
      </c>
      <c r="E6" s="14" t="n">
        <v>0.85</v>
      </c>
      <c r="F6" s="14" t="n">
        <v>1</v>
      </c>
      <c r="G6" s="14" t="n">
        <v>0.95</v>
      </c>
      <c r="H6" s="14" t="n">
        <v>1.15</v>
      </c>
      <c r="I6" s="15">
        <f>IF('Control Panel'!$B$5="Bear",AVERAGE(C6:D6),IF('Control Panel'!$B$5="Base",AVERAGE(E6:F6),AVERAGE(G6:H6)))</f>
        <v/>
      </c>
      <c r="J6" s="2" t="inlineStr">
        <is>
          <t>Yes — Revenue Forecast tab</t>
        </is>
      </c>
    </row>
    <row r="7">
      <c r="A7" s="9" t="inlineStr">
        <is>
          <t>Applications growth %</t>
        </is>
      </c>
      <c r="B7" s="9" t="inlineStr">
        <is>
          <t>FY27</t>
        </is>
      </c>
      <c r="C7" s="14" t="n">
        <v>0.07000000000000001</v>
      </c>
      <c r="D7" s="14" t="n">
        <v>0.09</v>
      </c>
      <c r="E7" s="14" t="n">
        <v>0.1</v>
      </c>
      <c r="F7" s="14" t="n">
        <v>0.12</v>
      </c>
      <c r="G7" s="14" t="n">
        <v>0.14</v>
      </c>
      <c r="H7" s="14" t="n">
        <v>0.16</v>
      </c>
      <c r="I7" s="15">
        <f>IF('Control Panel'!$B$5="Bear",AVERAGE(C7:D7),IF('Control Panel'!$B$5="Base",AVERAGE(E7:F7),AVERAGE(G7:H7)))</f>
        <v/>
      </c>
      <c r="J7" s="2" t="inlineStr">
        <is>
          <t>Yes — Revenue Forecast tab</t>
        </is>
      </c>
    </row>
    <row r="8">
      <c r="A8" s="9" t="inlineStr">
        <is>
          <t>Applications growth %</t>
        </is>
      </c>
      <c r="B8" s="9" t="inlineStr">
        <is>
          <t>FY28</t>
        </is>
      </c>
      <c r="C8" s="14" t="n">
        <v>0.06</v>
      </c>
      <c r="D8" s="14" t="n">
        <v>0.08</v>
      </c>
      <c r="E8" s="14" t="n">
        <v>0.1</v>
      </c>
      <c r="F8" s="14" t="n">
        <v>0.12</v>
      </c>
      <c r="G8" s="14" t="n">
        <v>0.13</v>
      </c>
      <c r="H8" s="14" t="n">
        <v>0.15</v>
      </c>
      <c r="I8" s="15">
        <f>IF('Control Panel'!$B$5="Bear",AVERAGE(C8:D8),IF('Control Panel'!$B$5="Base",AVERAGE(E8:F8),AVERAGE(G8:H8)))</f>
        <v/>
      </c>
      <c r="J8" s="2" t="inlineStr">
        <is>
          <t>Yes — Revenue Forecast tab</t>
        </is>
      </c>
    </row>
    <row r="9">
      <c r="A9" s="9" t="inlineStr">
        <is>
          <t>Total revenue ($B, cross-check only)</t>
        </is>
      </c>
      <c r="B9" s="9" t="inlineStr">
        <is>
          <t>FY27</t>
        </is>
      </c>
      <c r="C9" s="16" t="n">
        <v>84</v>
      </c>
      <c r="D9" s="16" t="n">
        <v>86</v>
      </c>
      <c r="E9" s="16" t="n">
        <v>89.5</v>
      </c>
      <c r="F9" s="16" t="n">
        <v>90.5</v>
      </c>
      <c r="G9" s="16" t="n">
        <v>94</v>
      </c>
      <c r="H9" s="16" t="n">
        <v>97</v>
      </c>
      <c r="I9" s="17">
        <f>IF('Control Panel'!$B$5="Bear",AVERAGE(C9:D9),IF('Control Panel'!$B$5="Base",AVERAGE(E9:F9),AVERAGE(G9:H9)))</f>
        <v/>
      </c>
      <c r="J9" s="2" t="inlineStr">
        <is>
          <t>No — memo/cross-check only</t>
        </is>
      </c>
    </row>
    <row r="10">
      <c r="A10" s="9" t="inlineStr">
        <is>
          <t>Total revenue ($B, cross-check only)</t>
        </is>
      </c>
      <c r="B10" s="9" t="inlineStr">
        <is>
          <t>FY28</t>
        </is>
      </c>
      <c r="C10" s="16" t="n">
        <v>108</v>
      </c>
      <c r="D10" s="16" t="n">
        <v>116</v>
      </c>
      <c r="E10" s="16" t="n">
        <v>127</v>
      </c>
      <c r="F10" s="16" t="n">
        <v>132</v>
      </c>
      <c r="G10" s="16" t="n">
        <v>140</v>
      </c>
      <c r="H10" s="16" t="n">
        <v>150</v>
      </c>
      <c r="I10" s="17">
        <f>IF('Control Panel'!$B$5="Bear",AVERAGE(C10:D10),IF('Control Panel'!$B$5="Base",AVERAGE(E10:F10),AVERAGE(G10:H10)))</f>
        <v/>
      </c>
      <c r="J10" s="2" t="inlineStr">
        <is>
          <t>No — memo/cross-check only</t>
        </is>
      </c>
    </row>
    <row r="11">
      <c r="A11" s="9" t="inlineStr">
        <is>
          <t>GAAP gross margin %</t>
        </is>
      </c>
      <c r="B11" s="9" t="inlineStr">
        <is>
          <t>FY27</t>
        </is>
      </c>
      <c r="C11" s="14" t="n">
        <v>0.53</v>
      </c>
      <c r="D11" s="14" t="n">
        <v>0.5600000000000001</v>
      </c>
      <c r="E11" s="14" t="n">
        <v>0.55</v>
      </c>
      <c r="F11" s="14" t="n">
        <v>0.58</v>
      </c>
      <c r="G11" s="14" t="n">
        <v>0.58</v>
      </c>
      <c r="H11" s="14" t="n">
        <v>0.6</v>
      </c>
      <c r="I11" s="15">
        <f>IF('Control Panel'!$B$5="Bear",AVERAGE(C11:D11),IF('Control Panel'!$B$5="Base",AVERAGE(E11:F11),AVERAGE(G11:H11)))</f>
        <v/>
      </c>
      <c r="J11" s="2" t="inlineStr">
        <is>
          <t>Yes — Margin &amp; EBITDA tab</t>
        </is>
      </c>
    </row>
    <row r="12">
      <c r="A12" s="9" t="inlineStr">
        <is>
          <t>GAAP gross margin %</t>
        </is>
      </c>
      <c r="B12" s="9" t="inlineStr">
        <is>
          <t>FY28</t>
        </is>
      </c>
      <c r="C12" s="14" t="n">
        <v>0.5</v>
      </c>
      <c r="D12" s="14" t="n">
        <v>0.54</v>
      </c>
      <c r="E12" s="14" t="n">
        <v>0.52</v>
      </c>
      <c r="F12" s="14" t="n">
        <v>0.57</v>
      </c>
      <c r="G12" s="14" t="n">
        <v>0.57</v>
      </c>
      <c r="H12" s="14" t="n">
        <v>0.61</v>
      </c>
      <c r="I12" s="15">
        <f>IF('Control Panel'!$B$5="Bear",AVERAGE(C12:D12),IF('Control Panel'!$B$5="Base",AVERAGE(E12:F12),AVERAGE(G12:H12)))</f>
        <v/>
      </c>
      <c r="J12" s="2" t="inlineStr">
        <is>
          <t>Yes — Margin &amp; EBITDA tab</t>
        </is>
      </c>
    </row>
    <row r="13">
      <c r="A13" s="9" t="inlineStr">
        <is>
          <t>Non-GAAP operating margin %</t>
        </is>
      </c>
      <c r="B13" s="9" t="inlineStr">
        <is>
          <t>FY27</t>
        </is>
      </c>
      <c r="C13" s="14" t="n">
        <v>0.36</v>
      </c>
      <c r="D13" s="14" t="n">
        <v>0.385</v>
      </c>
      <c r="E13" s="14" t="n">
        <v>0.395</v>
      </c>
      <c r="F13" s="14" t="n">
        <v>0.415</v>
      </c>
      <c r="G13" s="14" t="n">
        <v>0.42</v>
      </c>
      <c r="H13" s="14" t="n">
        <v>0.44</v>
      </c>
      <c r="I13" s="15">
        <f>IF('Control Panel'!$B$5="Bear",AVERAGE(C13:D13),IF('Control Panel'!$B$5="Base",AVERAGE(E13:F13),AVERAGE(G13:H13)))</f>
        <v/>
      </c>
      <c r="J13" s="2" t="inlineStr">
        <is>
          <t>Yes — Margin &amp; EBITDA tab</t>
        </is>
      </c>
    </row>
    <row r="14">
      <c r="A14" s="9" t="inlineStr">
        <is>
          <t>Non-GAAP operating margin %</t>
        </is>
      </c>
      <c r="B14" s="9" t="inlineStr">
        <is>
          <t>FY28</t>
        </is>
      </c>
      <c r="C14" s="14" t="n">
        <v>0.34</v>
      </c>
      <c r="D14" s="14" t="n">
        <v>0.38</v>
      </c>
      <c r="E14" s="14" t="n">
        <v>0.385</v>
      </c>
      <c r="F14" s="14" t="n">
        <v>0.415</v>
      </c>
      <c r="G14" s="14" t="n">
        <v>0.42</v>
      </c>
      <c r="H14" s="14" t="n">
        <v>0.45</v>
      </c>
      <c r="I14" s="15">
        <f>IF('Control Panel'!$B$5="Bear",AVERAGE(C14:D14),IF('Control Panel'!$B$5="Base",AVERAGE(E14:F14),AVERAGE(G14:H14)))</f>
        <v/>
      </c>
      <c r="J14" s="2" t="inlineStr">
        <is>
          <t>Yes — Margin &amp; EBITDA tab</t>
        </is>
      </c>
    </row>
    <row r="15">
      <c r="A15" s="9" t="inlineStr">
        <is>
          <t>Gross reported capex ($B)</t>
        </is>
      </c>
      <c r="B15" s="9" t="inlineStr">
        <is>
          <t>FY27</t>
        </is>
      </c>
      <c r="C15" s="16" t="n">
        <v>92</v>
      </c>
      <c r="D15" s="16" t="n">
        <v>100</v>
      </c>
      <c r="E15" s="16" t="n">
        <v>90</v>
      </c>
      <c r="F15" s="16" t="n">
        <v>95</v>
      </c>
      <c r="G15" s="16" t="n">
        <v>95</v>
      </c>
      <c r="H15" s="16" t="n">
        <v>105</v>
      </c>
      <c r="I15" s="17">
        <f>IF('Control Panel'!$B$5="Bear",AVERAGE(C15:D15),IF('Control Panel'!$B$5="Base",AVERAGE(E15:F15),AVERAGE(G15:H15)))</f>
        <v/>
      </c>
      <c r="J15" s="2" t="inlineStr">
        <is>
          <t>No — Gate 12 (debt/capex build)</t>
        </is>
      </c>
    </row>
    <row r="16">
      <c r="A16" s="9" t="inlineStr">
        <is>
          <t>Gross capex ($B)</t>
        </is>
      </c>
      <c r="B16" s="9" t="inlineStr">
        <is>
          <t>FY28</t>
        </is>
      </c>
      <c r="C16" s="16" t="n">
        <v>85</v>
      </c>
      <c r="D16" s="16" t="n">
        <v>105</v>
      </c>
      <c r="E16" s="16" t="n">
        <v>100</v>
      </c>
      <c r="F16" s="16" t="n">
        <v>115</v>
      </c>
      <c r="G16" s="16" t="n">
        <v>115</v>
      </c>
      <c r="H16" s="16" t="n">
        <v>135</v>
      </c>
      <c r="I16" s="17">
        <f>IF('Control Panel'!$B$5="Bear",AVERAGE(C16:D16),IF('Control Panel'!$B$5="Base",AVERAGE(E16:F16),AVERAGE(G16:H16)))</f>
        <v/>
      </c>
      <c r="J16" s="2" t="inlineStr">
        <is>
          <t>No — Gate 12</t>
        </is>
      </c>
    </row>
    <row r="17">
      <c r="A17" s="9" t="inlineStr">
        <is>
          <t>Net cash capex ($B, FY27 only)</t>
        </is>
      </c>
      <c r="B17" s="9" t="inlineStr">
        <is>
          <t>FY27</t>
        </is>
      </c>
      <c r="C17" s="16" t="n">
        <v>75</v>
      </c>
      <c r="D17" s="16" t="n">
        <v>82</v>
      </c>
      <c r="E17" s="16" t="n">
        <v>68</v>
      </c>
      <c r="F17" s="16" t="n">
        <v>72</v>
      </c>
      <c r="G17" s="16" t="n">
        <v>65</v>
      </c>
      <c r="H17" s="16" t="n">
        <v>75</v>
      </c>
      <c r="I17" s="17">
        <f>IF('Control Panel'!$B$5="Bear",AVERAGE(C17:D17),IF('Control Panel'!$B$5="Base",AVERAGE(E17:F17),AVERAGE(G17:H17)))</f>
        <v/>
      </c>
      <c r="J17" s="2" t="inlineStr">
        <is>
          <t>No — Gate 12</t>
        </is>
      </c>
    </row>
    <row r="18">
      <c r="A18" s="9" t="inlineStr">
        <is>
          <t>Depreciation ($B)</t>
        </is>
      </c>
      <c r="B18" s="9" t="inlineStr">
        <is>
          <t>FY27</t>
        </is>
      </c>
      <c r="C18" s="16" t="n">
        <v>13</v>
      </c>
      <c r="D18" s="16" t="n">
        <v>15</v>
      </c>
      <c r="E18" s="16" t="n">
        <v>15</v>
      </c>
      <c r="F18" s="16" t="n">
        <v>17</v>
      </c>
      <c r="G18" s="16" t="n">
        <v>17</v>
      </c>
      <c r="H18" s="16" t="n">
        <v>20</v>
      </c>
      <c r="I18" s="17">
        <f>IF('Control Panel'!$B$5="Bear",AVERAGE(C18:D18),IF('Control Panel'!$B$5="Base",AVERAGE(E18:F18),AVERAGE(G18:H18)))</f>
        <v/>
      </c>
      <c r="J18" s="2" t="inlineStr">
        <is>
          <t>No — Gate 12</t>
        </is>
      </c>
    </row>
    <row r="19">
      <c r="A19" s="9" t="inlineStr">
        <is>
          <t>Depreciation ($B)</t>
        </is>
      </c>
      <c r="B19" s="9" t="inlineStr">
        <is>
          <t>FY28</t>
        </is>
      </c>
      <c r="C19" s="16" t="n">
        <v>23</v>
      </c>
      <c r="D19" s="16" t="n">
        <v>29</v>
      </c>
      <c r="E19" s="16" t="n">
        <v>28</v>
      </c>
      <c r="F19" s="16" t="n">
        <v>34</v>
      </c>
      <c r="G19" s="16" t="n">
        <v>32</v>
      </c>
      <c r="H19" s="16" t="n">
        <v>40</v>
      </c>
      <c r="I19" s="17">
        <f>IF('Control Panel'!$B$5="Bear",AVERAGE(C19:D19),IF('Control Panel'!$B$5="Base",AVERAGE(E19:F19),AVERAGE(G19:H19)))</f>
        <v/>
      </c>
      <c r="J19" s="2" t="inlineStr">
        <is>
          <t>No — Gate 12</t>
        </is>
      </c>
    </row>
    <row r="20">
      <c r="A20" s="9" t="inlineStr">
        <is>
          <t>Interest expense ($B)</t>
        </is>
      </c>
      <c r="B20" s="9" t="inlineStr">
        <is>
          <t>FY27</t>
        </is>
      </c>
      <c r="C20" s="16" t="n">
        <v>7</v>
      </c>
      <c r="D20" s="16" t="n">
        <v>8</v>
      </c>
      <c r="E20" s="16" t="n">
        <v>6</v>
      </c>
      <c r="F20" s="16" t="n">
        <v>7</v>
      </c>
      <c r="G20" s="16" t="n">
        <v>5.5</v>
      </c>
      <c r="H20" s="16" t="n">
        <v>6.5</v>
      </c>
      <c r="I20" s="17">
        <f>IF('Control Panel'!$B$5="Bear",AVERAGE(C20:D20),IF('Control Panel'!$B$5="Base",AVERAGE(E20:F20),AVERAGE(G20:H20)))</f>
        <v/>
      </c>
      <c r="J20" s="2" t="inlineStr">
        <is>
          <t>No — Gate 12</t>
        </is>
      </c>
    </row>
    <row r="21">
      <c r="A21" s="9" t="inlineStr">
        <is>
          <t>Interest expense ($B)</t>
        </is>
      </c>
      <c r="B21" s="9" t="inlineStr">
        <is>
          <t>FY28</t>
        </is>
      </c>
      <c r="C21" s="16" t="n">
        <v>8</v>
      </c>
      <c r="D21" s="16" t="n">
        <v>9.5</v>
      </c>
      <c r="E21" s="16" t="n">
        <v>7</v>
      </c>
      <c r="F21" s="16" t="n">
        <v>8.5</v>
      </c>
      <c r="G21" s="16" t="n">
        <v>6</v>
      </c>
      <c r="H21" s="16" t="n">
        <v>7.5</v>
      </c>
      <c r="I21" s="17">
        <f>IF('Control Panel'!$B$5="Bear",AVERAGE(C21:D21),IF('Control Panel'!$B$5="Base",AVERAGE(E21:F21),AVERAGE(G21:H21)))</f>
        <v/>
      </c>
      <c r="J21" s="2" t="inlineStr">
        <is>
          <t>No — Gate 12</t>
        </is>
      </c>
    </row>
    <row r="22">
      <c r="A22" s="9" t="inlineStr">
        <is>
          <t>Ending gross debt ($B)</t>
        </is>
      </c>
      <c r="B22" s="9" t="inlineStr">
        <is>
          <t>FY27</t>
        </is>
      </c>
      <c r="C22" s="16" t="n">
        <v>155</v>
      </c>
      <c r="D22" s="16" t="n">
        <v>165</v>
      </c>
      <c r="E22" s="16" t="n">
        <v>145</v>
      </c>
      <c r="F22" s="16" t="n">
        <v>153</v>
      </c>
      <c r="G22" s="16" t="n">
        <v>138</v>
      </c>
      <c r="H22" s="16" t="n">
        <v>148</v>
      </c>
      <c r="I22" s="17">
        <f>IF('Control Panel'!$B$5="Bear",AVERAGE(C22:D22),IF('Control Panel'!$B$5="Base",AVERAGE(E22:F22),AVERAGE(G22:H22)))</f>
        <v/>
      </c>
      <c r="J22" s="2" t="inlineStr">
        <is>
          <t>No — Gate 12</t>
        </is>
      </c>
    </row>
    <row r="23">
      <c r="A23" s="9" t="inlineStr">
        <is>
          <t>Ending gross debt ($B)</t>
        </is>
      </c>
      <c r="B23" s="9" t="inlineStr">
        <is>
          <t>FY28</t>
        </is>
      </c>
      <c r="C23" s="16" t="n">
        <v>175</v>
      </c>
      <c r="D23" s="16" t="n">
        <v>195</v>
      </c>
      <c r="E23" s="16" t="n">
        <v>155</v>
      </c>
      <c r="F23" s="16" t="n">
        <v>175</v>
      </c>
      <c r="G23" s="16" t="n">
        <v>140</v>
      </c>
      <c r="H23" s="16" t="n">
        <v>160</v>
      </c>
      <c r="I23" s="17">
        <f>IF('Control Panel'!$B$5="Bear",AVERAGE(C23:D23),IF('Control Panel'!$B$5="Base",AVERAGE(E23:F23),AVERAGE(G23:H23)))</f>
        <v/>
      </c>
      <c r="J23" s="2" t="inlineStr">
        <is>
          <t>No — Gate 12</t>
        </is>
      </c>
    </row>
    <row r="24">
      <c r="A24" s="9" t="inlineStr">
        <is>
          <t>Ending cash ($B)</t>
        </is>
      </c>
      <c r="B24" s="9" t="inlineStr">
        <is>
          <t>FY27</t>
        </is>
      </c>
      <c r="C24" s="16" t="n">
        <v>12</v>
      </c>
      <c r="D24" s="16" t="n">
        <v>20</v>
      </c>
      <c r="E24" s="16" t="n">
        <v>20</v>
      </c>
      <c r="F24" s="16" t="n">
        <v>28</v>
      </c>
      <c r="G24" s="16" t="n">
        <v>28</v>
      </c>
      <c r="H24" s="16" t="n">
        <v>38</v>
      </c>
      <c r="I24" s="17">
        <f>IF('Control Panel'!$B$5="Bear",AVERAGE(C24:D24),IF('Control Panel'!$B$5="Base",AVERAGE(E24:F24),AVERAGE(G24:H24)))</f>
        <v/>
      </c>
      <c r="J24" s="2" t="inlineStr">
        <is>
          <t>No — Gate 12</t>
        </is>
      </c>
    </row>
    <row r="25">
      <c r="A25" s="9" t="inlineStr">
        <is>
          <t>Ending cash ($B)</t>
        </is>
      </c>
      <c r="B25" s="9" t="inlineStr">
        <is>
          <t>FY28</t>
        </is>
      </c>
      <c r="C25" s="16" t="n">
        <v>10</v>
      </c>
      <c r="D25" s="16" t="n">
        <v>18</v>
      </c>
      <c r="E25" s="16" t="n">
        <v>18</v>
      </c>
      <c r="F25" s="16" t="n">
        <v>28</v>
      </c>
      <c r="G25" s="16" t="n">
        <v>30</v>
      </c>
      <c r="H25" s="16" t="n">
        <v>45</v>
      </c>
      <c r="I25" s="17">
        <f>IF('Control Panel'!$B$5="Bear",AVERAGE(C25:D25),IF('Control Panel'!$B$5="Base",AVERAGE(E25:F25),AVERAGE(G25:H25)))</f>
        <v/>
      </c>
      <c r="J25" s="2" t="inlineStr">
        <is>
          <t>No — Gate 12</t>
        </is>
      </c>
    </row>
    <row r="26">
      <c r="A26" s="9" t="inlineStr">
        <is>
          <t>Diluted shares (B)</t>
        </is>
      </c>
      <c r="B26" s="9" t="inlineStr">
        <is>
          <t>FY27</t>
        </is>
      </c>
      <c r="C26" s="16" t="n">
        <v>3.1</v>
      </c>
      <c r="D26" s="16" t="n">
        <v>3.17</v>
      </c>
      <c r="E26" s="16" t="n">
        <v>3.03</v>
      </c>
      <c r="F26" s="16" t="n">
        <v>3.1</v>
      </c>
      <c r="G26" s="16" t="n">
        <v>2.98</v>
      </c>
      <c r="H26" s="16" t="n">
        <v>3.06</v>
      </c>
      <c r="I26" s="17">
        <f>IF('Control Panel'!$B$5="Bear",AVERAGE(C26:D26),IF('Control Panel'!$B$5="Base",AVERAGE(E26:F26),AVERAGE(G26:H26)))</f>
        <v/>
      </c>
      <c r="J26" s="2" t="inlineStr">
        <is>
          <t>No — Gate 12</t>
        </is>
      </c>
    </row>
    <row r="27">
      <c r="A27" s="9" t="inlineStr">
        <is>
          <t>Diluted shares (B)</t>
        </is>
      </c>
      <c r="B27" s="9" t="inlineStr">
        <is>
          <t>FY28</t>
        </is>
      </c>
      <c r="C27" s="16" t="n">
        <v>3.18</v>
      </c>
      <c r="D27" s="16" t="n">
        <v>3.28</v>
      </c>
      <c r="E27" s="16" t="n">
        <v>3.11</v>
      </c>
      <c r="F27" s="16" t="n">
        <v>3.2</v>
      </c>
      <c r="G27" s="16" t="n">
        <v>3.04</v>
      </c>
      <c r="H27" s="16" t="n">
        <v>3.13</v>
      </c>
      <c r="I27" s="17">
        <f>IF('Control Panel'!$B$5="Bear",AVERAGE(C27:D27),IF('Control Panel'!$B$5="Base",AVERAGE(E27:F27),AVERAGE(G27:H27)))</f>
        <v/>
      </c>
      <c r="J27" s="2" t="inlineStr">
        <is>
          <t>No — Gate 12</t>
        </is>
      </c>
    </row>
  </sheetData>
  <mergeCells count="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8"/>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4" customWidth="1" min="10" max="10"/>
    <col width="11" customWidth="1" min="11" max="11"/>
    <col width="11" customWidth="1" min="12" max="12"/>
  </cols>
  <sheetData>
    <row r="1">
      <c r="A1" s="1" t="inlineStr">
        <is>
          <t>Revenue Forecast — FY2027 Q1 through FY2028 Q4</t>
        </is>
      </c>
    </row>
    <row r="2" ht="60" customHeight="1">
      <c r="A2" s="7" t="inlineStr">
        <is>
          <t>Scenario-switched: OCI and Applications growth pull the 'Selected' scenario value from the Scenario Assumptions tab (Control Panel drives which scenario). Support/License/Hardware/Services are NOT part of D-020's ratified ranges - held at their own trailing FY26 actual growth rate (same rate FY27 and FY28) per Gate 7 Sec 3's disposition; Gate 12 should refine these once a ratified range exists. Quarterly seasonality uses FY26 empirical quarter-shares for every stream, including OCI - this is a simplification pending D-019's capacity index (Gate 12); OCI's seasonality should eventually be capacity-timing-driven, not historical-share-driven (architecture Sec 13).</t>
        </is>
      </c>
    </row>
    <row r="4">
      <c r="A4" s="8" t="inlineStr">
        <is>
          <t>Field (USD $mm)</t>
        </is>
      </c>
      <c r="B4" s="8" t="inlineStr">
        <is>
          <t>FY27_Q1</t>
        </is>
      </c>
      <c r="C4" s="8" t="inlineStr">
        <is>
          <t>FY27_Q2</t>
        </is>
      </c>
      <c r="D4" s="8" t="inlineStr">
        <is>
          <t>FY27_Q3</t>
        </is>
      </c>
      <c r="E4" s="8" t="inlineStr">
        <is>
          <t>FY27_Q4</t>
        </is>
      </c>
      <c r="F4" s="8" t="inlineStr">
        <is>
          <t>FY28_Q1</t>
        </is>
      </c>
      <c r="G4" s="8" t="inlineStr">
        <is>
          <t>FY28_Q2</t>
        </is>
      </c>
      <c r="H4" s="8" t="inlineStr">
        <is>
          <t>FY28_Q3</t>
        </is>
      </c>
      <c r="I4" s="8" t="inlineStr">
        <is>
          <t>FY28_Q4</t>
        </is>
      </c>
      <c r="J4" s="8" t="inlineStr"/>
      <c r="K4" s="8" t="inlineStr">
        <is>
          <t>FY2027</t>
        </is>
      </c>
      <c r="L4" s="8" t="inlineStr">
        <is>
          <t>FY2028</t>
        </is>
      </c>
    </row>
    <row r="6">
      <c r="A6" s="3" t="inlineStr">
        <is>
          <t>Growth rate inputs (FY27 / FY28), for traceability</t>
        </is>
      </c>
    </row>
    <row r="7">
      <c r="A7" s="9" t="inlineStr">
        <is>
          <t>OCI revenue — FY27 growth rate</t>
        </is>
      </c>
      <c r="B7" s="18">
        <f>'Scenario Assumptions'!I5</f>
        <v/>
      </c>
    </row>
    <row r="8">
      <c r="A8" s="9" t="inlineStr">
        <is>
          <t>OCI revenue — FY28 growth rate</t>
        </is>
      </c>
      <c r="B8" s="18">
        <f>'Scenario Assumptions'!I6</f>
        <v/>
      </c>
    </row>
    <row r="9">
      <c r="A9" s="9" t="inlineStr">
        <is>
          <t>Cloud applications revenue — FY27 growth rate</t>
        </is>
      </c>
      <c r="B9" s="18">
        <f>'Scenario Assumptions'!I7</f>
        <v/>
      </c>
    </row>
    <row r="10">
      <c r="A10" s="9" t="inlineStr">
        <is>
          <t>Cloud applications revenue — FY28 growth rate</t>
        </is>
      </c>
      <c r="B10" s="18">
        <f>'Scenario Assumptions'!I8</f>
        <v/>
      </c>
    </row>
    <row r="11">
      <c r="A11" s="9" t="inlineStr">
        <is>
          <t>Software support revenue — FY27 growth rate</t>
        </is>
      </c>
      <c r="B11" s="14" t="n">
        <v>0.014445</v>
      </c>
    </row>
    <row r="12">
      <c r="A12" s="9" t="inlineStr">
        <is>
          <t>Software support revenue — FY28 growth rate</t>
        </is>
      </c>
      <c r="B12" s="14" t="n">
        <v>0.014445</v>
      </c>
    </row>
    <row r="13">
      <c r="A13" s="9" t="inlineStr">
        <is>
          <t>Software license revenue — FY27 growth rate</t>
        </is>
      </c>
      <c r="B13" s="14" t="n">
        <v>-0.089406</v>
      </c>
    </row>
    <row r="14">
      <c r="A14" s="9" t="inlineStr">
        <is>
          <t>Software license revenue — FY28 growth rate</t>
        </is>
      </c>
      <c r="B14" s="14" t="n">
        <v>-0.089406</v>
      </c>
    </row>
    <row r="15">
      <c r="A15" s="9" t="inlineStr">
        <is>
          <t>Hardware revenue — FY27 growth rate</t>
        </is>
      </c>
      <c r="B15" s="14" t="n">
        <v>0.050409</v>
      </c>
    </row>
    <row r="16">
      <c r="A16" s="9" t="inlineStr">
        <is>
          <t>Hardware revenue — FY28 growth rate</t>
        </is>
      </c>
      <c r="B16" s="14" t="n">
        <v>0.050409</v>
      </c>
    </row>
    <row r="17">
      <c r="A17" s="9" t="inlineStr">
        <is>
          <t>Services revenue — FY27 growth rate</t>
        </is>
      </c>
      <c r="B17" s="14" t="n">
        <v>0.097668</v>
      </c>
    </row>
    <row r="18">
      <c r="A18" s="9" t="inlineStr">
        <is>
          <t>Services revenue — FY28 growth rate</t>
        </is>
      </c>
      <c r="B18" s="14" t="n">
        <v>0.097668</v>
      </c>
    </row>
    <row r="20">
      <c r="A20" s="3" t="inlineStr">
        <is>
          <t>Quarterly seasonality shares (FY26 actual, held flat for FY27 &amp; FY28)</t>
        </is>
      </c>
    </row>
    <row r="21">
      <c r="A21" s="9" t="inlineStr">
        <is>
          <t>OCI revenue — quarter share of FY</t>
        </is>
      </c>
      <c r="B21" s="14" t="n">
        <v>0.185</v>
      </c>
      <c r="C21" s="14" t="n">
        <v>0.225</v>
      </c>
      <c r="D21" s="14" t="n">
        <v>0.27</v>
      </c>
      <c r="E21" s="14" t="n">
        <v>0.32</v>
      </c>
      <c r="F21" s="14" t="n">
        <v>0.185</v>
      </c>
      <c r="G21" s="14" t="n">
        <v>0.225</v>
      </c>
      <c r="H21" s="14" t="n">
        <v>0.27</v>
      </c>
      <c r="I21" s="14" t="n">
        <v>0.32</v>
      </c>
    </row>
    <row r="22">
      <c r="A22" s="9" t="inlineStr">
        <is>
          <t>Cloud applications revenue — quarter share of FY</t>
        </is>
      </c>
      <c r="B22" s="14" t="n">
        <v>0.242</v>
      </c>
      <c r="C22" s="14" t="n">
        <v>0.245</v>
      </c>
      <c r="D22" s="14" t="n">
        <v>0.253</v>
      </c>
      <c r="E22" s="14" t="n">
        <v>0.26</v>
      </c>
      <c r="F22" s="14" t="n">
        <v>0.242</v>
      </c>
      <c r="G22" s="14" t="n">
        <v>0.245</v>
      </c>
      <c r="H22" s="14" t="n">
        <v>0.253</v>
      </c>
      <c r="I22" s="14" t="n">
        <v>0.26</v>
      </c>
    </row>
    <row r="23">
      <c r="A23" s="9" t="inlineStr">
        <is>
          <t>Software support revenue — quarter share of FY</t>
        </is>
      </c>
      <c r="B23" s="14" t="n">
        <v>0.25</v>
      </c>
      <c r="C23" s="14" t="n">
        <v>0.249</v>
      </c>
      <c r="D23" s="14" t="n">
        <v>0.251</v>
      </c>
      <c r="E23" s="14" t="n">
        <v>0.25</v>
      </c>
      <c r="F23" s="14" t="n">
        <v>0.25</v>
      </c>
      <c r="G23" s="14" t="n">
        <v>0.249</v>
      </c>
      <c r="H23" s="14" t="n">
        <v>0.251</v>
      </c>
      <c r="I23" s="14" t="n">
        <v>0.25</v>
      </c>
    </row>
    <row r="24">
      <c r="A24" s="9" t="inlineStr">
        <is>
          <t>Software license revenue — quarter share of FY</t>
        </is>
      </c>
      <c r="B24" s="14" t="n">
        <v>0.162</v>
      </c>
      <c r="C24" s="14" t="n">
        <v>0.198</v>
      </c>
      <c r="D24" s="14" t="n">
        <v>0.243</v>
      </c>
      <c r="E24" s="14" t="n">
        <v>0.397</v>
      </c>
      <c r="F24" s="14" t="n">
        <v>0.162</v>
      </c>
      <c r="G24" s="14" t="n">
        <v>0.198</v>
      </c>
      <c r="H24" s="14" t="n">
        <v>0.243</v>
      </c>
      <c r="I24" s="14" t="n">
        <v>0.397</v>
      </c>
    </row>
    <row r="25">
      <c r="A25" s="9" t="inlineStr">
        <is>
          <t>Hardware revenue — quarter share of FY</t>
        </is>
      </c>
      <c r="B25" s="14" t="n">
        <v>0.217</v>
      </c>
      <c r="C25" s="14" t="n">
        <v>0.252</v>
      </c>
      <c r="D25" s="14" t="n">
        <v>0.232</v>
      </c>
      <c r="E25" s="14" t="n">
        <v>0.3</v>
      </c>
      <c r="F25" s="14" t="n">
        <v>0.217</v>
      </c>
      <c r="G25" s="14" t="n">
        <v>0.252</v>
      </c>
      <c r="H25" s="14" t="n">
        <v>0.232</v>
      </c>
      <c r="I25" s="14" t="n">
        <v>0.3</v>
      </c>
    </row>
    <row r="26">
      <c r="A26" s="9" t="inlineStr">
        <is>
          <t>Services revenue — quarter share of FY</t>
        </is>
      </c>
      <c r="B26" s="14" t="n">
        <v>0.235</v>
      </c>
      <c r="C26" s="14" t="n">
        <v>0.249</v>
      </c>
      <c r="D26" s="14" t="n">
        <v>0.251</v>
      </c>
      <c r="E26" s="14" t="n">
        <v>0.265</v>
      </c>
      <c r="F26" s="14" t="n">
        <v>0.235</v>
      </c>
      <c r="G26" s="14" t="n">
        <v>0.249</v>
      </c>
      <c r="H26" s="14" t="n">
        <v>0.251</v>
      </c>
      <c r="I26" s="14" t="n">
        <v>0.265</v>
      </c>
    </row>
    <row r="28">
      <c r="A28" s="3" t="inlineStr">
        <is>
          <t>Forecast revenue by stream</t>
        </is>
      </c>
    </row>
    <row r="29">
      <c r="A29" s="9" t="inlineStr">
        <is>
          <t>OCI revenue</t>
        </is>
      </c>
      <c r="B29" s="11">
        <f>$K$29*B21</f>
        <v/>
      </c>
      <c r="C29" s="11">
        <f>$K$29*C21</f>
        <v/>
      </c>
      <c r="D29" s="11">
        <f>$K$29*D21</f>
        <v/>
      </c>
      <c r="E29" s="11">
        <f>$K$29*E21</f>
        <v/>
      </c>
      <c r="F29" s="11">
        <f>$L$29*F21</f>
        <v/>
      </c>
      <c r="G29" s="11">
        <f>$L$29*G21</f>
        <v/>
      </c>
      <c r="H29" s="11">
        <f>$L$29*H21</f>
        <v/>
      </c>
      <c r="I29" s="11">
        <f>$L$29*I21</f>
        <v/>
      </c>
      <c r="K29" s="11">
        <f>'Historical Actuals'!$L$5*(1+B7)</f>
        <v/>
      </c>
      <c r="L29" s="11">
        <f>K29*(1+B8)</f>
        <v/>
      </c>
    </row>
    <row r="30">
      <c r="A30" s="9" t="inlineStr">
        <is>
          <t>Cloud applications revenue</t>
        </is>
      </c>
      <c r="B30" s="11">
        <f>$K$30*B22</f>
        <v/>
      </c>
      <c r="C30" s="11">
        <f>$K$30*C22</f>
        <v/>
      </c>
      <c r="D30" s="11">
        <f>$K$30*D22</f>
        <v/>
      </c>
      <c r="E30" s="11">
        <f>$K$30*E22</f>
        <v/>
      </c>
      <c r="F30" s="11">
        <f>$L$30*F22</f>
        <v/>
      </c>
      <c r="G30" s="11">
        <f>$L$30*G22</f>
        <v/>
      </c>
      <c r="H30" s="11">
        <f>$L$30*H22</f>
        <v/>
      </c>
      <c r="I30" s="11">
        <f>$L$30*I22</f>
        <v/>
      </c>
      <c r="K30" s="11">
        <f>'Historical Actuals'!$L$6*(1+B9)</f>
        <v/>
      </c>
      <c r="L30" s="11">
        <f>K30*(1+B10)</f>
        <v/>
      </c>
    </row>
    <row r="31">
      <c r="A31" s="9" t="inlineStr">
        <is>
          <t>Software support revenue</t>
        </is>
      </c>
      <c r="B31" s="11">
        <f>$K$31*B23</f>
        <v/>
      </c>
      <c r="C31" s="11">
        <f>$K$31*C23</f>
        <v/>
      </c>
      <c r="D31" s="11">
        <f>$K$31*D23</f>
        <v/>
      </c>
      <c r="E31" s="11">
        <f>$K$31*E23</f>
        <v/>
      </c>
      <c r="F31" s="11">
        <f>$L$31*F23</f>
        <v/>
      </c>
      <c r="G31" s="11">
        <f>$L$31*G23</f>
        <v/>
      </c>
      <c r="H31" s="11">
        <f>$L$31*H23</f>
        <v/>
      </c>
      <c r="I31" s="11">
        <f>$L$31*I23</f>
        <v/>
      </c>
      <c r="K31" s="11">
        <f>'Historical Actuals'!$L$7*(1+B11)</f>
        <v/>
      </c>
      <c r="L31" s="11">
        <f>K31*(1+B12)</f>
        <v/>
      </c>
    </row>
    <row r="32">
      <c r="A32" s="9" t="inlineStr">
        <is>
          <t>Software license revenue</t>
        </is>
      </c>
      <c r="B32" s="11">
        <f>$K$32*B24</f>
        <v/>
      </c>
      <c r="C32" s="11">
        <f>$K$32*C24</f>
        <v/>
      </c>
      <c r="D32" s="11">
        <f>$K$32*D24</f>
        <v/>
      </c>
      <c r="E32" s="11">
        <f>$K$32*E24</f>
        <v/>
      </c>
      <c r="F32" s="11">
        <f>$L$32*F24</f>
        <v/>
      </c>
      <c r="G32" s="11">
        <f>$L$32*G24</f>
        <v/>
      </c>
      <c r="H32" s="11">
        <f>$L$32*H24</f>
        <v/>
      </c>
      <c r="I32" s="11">
        <f>$L$32*I24</f>
        <v/>
      </c>
      <c r="K32" s="11">
        <f>'Historical Actuals'!$L$8*(1+B13)</f>
        <v/>
      </c>
      <c r="L32" s="11">
        <f>K32*(1+B14)</f>
        <v/>
      </c>
    </row>
    <row r="33">
      <c r="A33" s="9" t="inlineStr">
        <is>
          <t>Hardware revenue</t>
        </is>
      </c>
      <c r="B33" s="11">
        <f>$K$33*B25</f>
        <v/>
      </c>
      <c r="C33" s="11">
        <f>$K$33*C25</f>
        <v/>
      </c>
      <c r="D33" s="11">
        <f>$K$33*D25</f>
        <v/>
      </c>
      <c r="E33" s="11">
        <f>$K$33*E25</f>
        <v/>
      </c>
      <c r="F33" s="11">
        <f>$L$33*F25</f>
        <v/>
      </c>
      <c r="G33" s="11">
        <f>$L$33*G25</f>
        <v/>
      </c>
      <c r="H33" s="11">
        <f>$L$33*H25</f>
        <v/>
      </c>
      <c r="I33" s="11">
        <f>$L$33*I25</f>
        <v/>
      </c>
      <c r="K33" s="11">
        <f>'Historical Actuals'!$L$9*(1+B15)</f>
        <v/>
      </c>
      <c r="L33" s="11">
        <f>K33*(1+B16)</f>
        <v/>
      </c>
    </row>
    <row r="34">
      <c r="A34" s="9" t="inlineStr">
        <is>
          <t>Services revenue</t>
        </is>
      </c>
      <c r="B34" s="11">
        <f>$K$34*B26</f>
        <v/>
      </c>
      <c r="C34" s="11">
        <f>$K$34*C26</f>
        <v/>
      </c>
      <c r="D34" s="11">
        <f>$K$34*D26</f>
        <v/>
      </c>
      <c r="E34" s="11">
        <f>$K$34*E26</f>
        <v/>
      </c>
      <c r="F34" s="11">
        <f>$L$34*F26</f>
        <v/>
      </c>
      <c r="G34" s="11">
        <f>$L$34*G26</f>
        <v/>
      </c>
      <c r="H34" s="11">
        <f>$L$34*H26</f>
        <v/>
      </c>
      <c r="I34" s="11">
        <f>$L$34*I26</f>
        <v/>
      </c>
      <c r="K34" s="11">
        <f>'Historical Actuals'!$L$10*(1+B17)</f>
        <v/>
      </c>
      <c r="L34" s="11">
        <f>K34*(1+B18)</f>
        <v/>
      </c>
    </row>
    <row r="35">
      <c r="A35" s="4" t="inlineStr">
        <is>
          <t>Total revenue (sum of six streams)</t>
        </is>
      </c>
      <c r="B35" s="12">
        <f>SUM(B29:B34)</f>
        <v/>
      </c>
      <c r="C35" s="12">
        <f>SUM(C29:C34)</f>
        <v/>
      </c>
      <c r="D35" s="12">
        <f>SUM(D29:D34)</f>
        <v/>
      </c>
      <c r="E35" s="12">
        <f>SUM(E29:E34)</f>
        <v/>
      </c>
      <c r="F35" s="12">
        <f>SUM(F29:F34)</f>
        <v/>
      </c>
      <c r="G35" s="12">
        <f>SUM(G29:G34)</f>
        <v/>
      </c>
      <c r="H35" s="12">
        <f>SUM(H29:H34)</f>
        <v/>
      </c>
      <c r="I35" s="12">
        <f>SUM(I29:I34)</f>
        <v/>
      </c>
      <c r="K35" s="12">
        <f>SUM(K29:K34)</f>
        <v/>
      </c>
      <c r="L35" s="12">
        <f>SUM(L29:L34)</f>
        <v/>
      </c>
    </row>
    <row r="37">
      <c r="A37" s="19" t="inlineStr">
        <is>
          <t>Cross-check: Framework total-revenue Selected midpoint ($B)</t>
        </is>
      </c>
      <c r="K37" s="20">
        <f>'Scenario Assumptions'!I9*1000</f>
        <v/>
      </c>
      <c r="L37" s="20">
        <f>'Scenario Assumptions'!I10*1000</f>
        <v/>
      </c>
    </row>
    <row r="38">
      <c r="A38" s="19" t="inlineStr">
        <is>
          <t>Bottom-up build vs. Framework cross-check, variance ($mm)</t>
        </is>
      </c>
      <c r="K38" s="21">
        <f>K35-K37</f>
        <v/>
      </c>
      <c r="L38" s="21">
        <f>L35-L37</f>
        <v/>
      </c>
    </row>
  </sheetData>
  <mergeCells count="1">
    <mergeCell ref="A2:K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4" customWidth="1" min="10" max="10"/>
    <col width="11" customWidth="1" min="11" max="11"/>
    <col width="11" customWidth="1" min="12" max="12"/>
  </cols>
  <sheetData>
    <row r="1">
      <c r="A1" s="1" t="inlineStr">
        <is>
          <t>Capex &amp; Depreciation — FY2027 Q1 through FY2028 Q4</t>
        </is>
      </c>
    </row>
    <row r="2" ht="60" customHeight="1">
      <c r="A2" s="7" t="inlineStr">
        <is>
          <t>Gross/net cash capex and total PP&amp;E depreciation pull the D-020 scenario-selected midpoints. Amortization of intangibles has no ratified scenario range - held at the trailing FY26 actual level (flat), per the same treatment Gate 10 gave unratified lines. Quarterly spread for depreciation reuses the empirical FY26 quarter-shares (depreciation accelerated through FY26 as the buildout ramped - a real, not fabricated, shape); amortization is spread evenly (FY26's own quarters were nearly flat, ~25% each).</t>
        </is>
      </c>
    </row>
    <row r="4">
      <c r="A4" s="23" t="inlineStr">
        <is>
          <t>Field ($mm unless noted)</t>
        </is>
      </c>
      <c r="B4" s="23" t="inlineStr">
        <is>
          <t>FY27_Q1</t>
        </is>
      </c>
      <c r="C4" s="23" t="inlineStr">
        <is>
          <t>FY27_Q2</t>
        </is>
      </c>
      <c r="D4" s="23" t="inlineStr">
        <is>
          <t>FY27_Q3</t>
        </is>
      </c>
      <c r="E4" s="23" t="inlineStr">
        <is>
          <t>FY27_Q4</t>
        </is>
      </c>
      <c r="F4" s="23" t="inlineStr">
        <is>
          <t>FY28_Q1</t>
        </is>
      </c>
      <c r="G4" s="23" t="inlineStr">
        <is>
          <t>FY28_Q2</t>
        </is>
      </c>
      <c r="H4" s="23" t="inlineStr">
        <is>
          <t>FY28_Q3</t>
        </is>
      </c>
      <c r="I4" s="23" t="inlineStr">
        <is>
          <t>FY28_Q4</t>
        </is>
      </c>
      <c r="J4" s="23" t="inlineStr"/>
      <c r="K4" s="23" t="inlineStr">
        <is>
          <t>FY2027</t>
        </is>
      </c>
      <c r="L4" s="23" t="inlineStr">
        <is>
          <t>FY2028</t>
        </is>
      </c>
    </row>
    <row r="5">
      <c r="A5" s="9" t="inlineStr">
        <is>
          <t>Gross reported capex, annual</t>
        </is>
      </c>
      <c r="K5" s="20">
        <f>'Scenario Assumptions'!I15*1000</f>
        <v/>
      </c>
      <c r="L5" s="20">
        <f>'Scenario Assumptions'!I16*1000</f>
        <v/>
      </c>
    </row>
    <row r="6">
      <c r="A6" s="9" t="inlineStr">
        <is>
          <t>Net cash capex, annual (FY27 ratified only; FY28 uses gross capex as a proxy - no ratified FY28 net-cash figure)</t>
        </is>
      </c>
      <c r="K6" s="20">
        <f>'Scenario Assumptions'!I17*1000</f>
        <v/>
      </c>
      <c r="L6" s="11">
        <f>L5</f>
        <v/>
      </c>
    </row>
    <row r="8">
      <c r="A8" s="9" t="inlineStr">
        <is>
          <t>Depreciation (PP&amp;E), annual — scenario-selected (D-020)</t>
        </is>
      </c>
      <c r="K8" s="20">
        <f>'Scenario Assumptions'!I18*1000</f>
        <v/>
      </c>
      <c r="L8" s="20">
        <f>'Scenario Assumptions'!I19*1000</f>
        <v/>
      </c>
    </row>
    <row r="9">
      <c r="A9" s="9" t="inlineStr">
        <is>
          <t>Depreciation — quarterly seasonality share (FY26 actual, held flat)</t>
        </is>
      </c>
      <c r="B9" s="14" t="n">
        <v>0.177227</v>
      </c>
      <c r="C9" s="14" t="n">
        <v>0.223534</v>
      </c>
      <c r="D9" s="14" t="n">
        <v>0.282435</v>
      </c>
      <c r="E9" s="14" t="n">
        <v>0.316804</v>
      </c>
      <c r="F9" s="14" t="n">
        <v>0.177227</v>
      </c>
      <c r="G9" s="14" t="n">
        <v>0.223534</v>
      </c>
      <c r="H9" s="14" t="n">
        <v>0.282435</v>
      </c>
      <c r="I9" s="14" t="n">
        <v>0.316804</v>
      </c>
    </row>
    <row r="10">
      <c r="A10" s="9" t="inlineStr">
        <is>
          <t>Depreciation (PP&amp;E), quarterly</t>
        </is>
      </c>
      <c r="B10" s="11">
        <f>$K$8*B9</f>
        <v/>
      </c>
      <c r="C10" s="11">
        <f>$K$8*C9</f>
        <v/>
      </c>
      <c r="D10" s="11">
        <f>$K$8*D9</f>
        <v/>
      </c>
      <c r="E10" s="11">
        <f>$K$8*E9</f>
        <v/>
      </c>
      <c r="F10" s="11">
        <f>$L$8*F9</f>
        <v/>
      </c>
      <c r="G10" s="11">
        <f>$L$8*G9</f>
        <v/>
      </c>
      <c r="H10" s="11">
        <f>$L$8*H9</f>
        <v/>
      </c>
      <c r="I10" s="11">
        <f>$L$8*I9</f>
        <v/>
      </c>
    </row>
    <row r="12">
      <c r="A12" s="9" t="inlineStr">
        <is>
          <t>Amortization of intangibles, annual (trailing FY26 actual, held flat — no ratified range)</t>
        </is>
      </c>
      <c r="K12" s="10" t="n">
        <v>1671</v>
      </c>
      <c r="L12" s="10" t="n">
        <v>1671</v>
      </c>
    </row>
    <row r="13">
      <c r="A13" s="9" t="inlineStr">
        <is>
          <t>Amortization, quarterly (even spread — FY26 actual was ~25% each quarter)</t>
        </is>
      </c>
      <c r="B13" s="11">
        <f>$K$12/4</f>
        <v/>
      </c>
      <c r="C13" s="11">
        <f>$K$12/4</f>
        <v/>
      </c>
      <c r="D13" s="11">
        <f>$K$12/4</f>
        <v/>
      </c>
      <c r="E13" s="11">
        <f>$K$12/4</f>
        <v/>
      </c>
      <c r="F13" s="11">
        <f>$L$12/4</f>
        <v/>
      </c>
      <c r="G13" s="11">
        <f>$L$12/4</f>
        <v/>
      </c>
      <c r="H13" s="11">
        <f>$L$12/4</f>
        <v/>
      </c>
      <c r="I13" s="11">
        <f>$L$12/4</f>
        <v/>
      </c>
    </row>
    <row r="15">
      <c r="A15" s="4" t="inlineStr">
        <is>
          <t>Total D&amp;A (Depreciation + Amortization) — feeds Margin &amp; EBITDA per D-014</t>
        </is>
      </c>
      <c r="B15" s="12">
        <f>B10+B13</f>
        <v/>
      </c>
      <c r="C15" s="12">
        <f>C10+C13</f>
        <v/>
      </c>
      <c r="D15" s="12">
        <f>D10+D13</f>
        <v/>
      </c>
      <c r="E15" s="12">
        <f>E10+E13</f>
        <v/>
      </c>
      <c r="F15" s="12">
        <f>F10+F13</f>
        <v/>
      </c>
      <c r="G15" s="12">
        <f>G10+G13</f>
        <v/>
      </c>
      <c r="H15" s="12">
        <f>H10+H13</f>
        <v/>
      </c>
      <c r="I15" s="12">
        <f>I10+I13</f>
        <v/>
      </c>
      <c r="K15" s="12">
        <f>K8+K12</f>
        <v/>
      </c>
      <c r="L15" s="12">
        <f>L8+L12</f>
        <v/>
      </c>
    </row>
  </sheetData>
  <mergeCells count="1">
    <mergeCell ref="A2:K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5"/>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4" customWidth="1" min="10" max="10"/>
    <col width="11" customWidth="1" min="11" max="11"/>
    <col width="11" customWidth="1" min="12" max="12"/>
  </cols>
  <sheetData>
    <row r="1">
      <c r="A1" s="1" t="inlineStr">
        <is>
          <t>Debt, Leases &amp; Cash — FY2027 Q1 through FY2028 Q4</t>
        </is>
      </c>
    </row>
    <row r="2" ht="75" customHeight="1">
      <c r="A2" s="7" t="inlineStr">
        <is>
          <t>Beginning balances anchor to the FY26 Q4 actuals (Gate 6 dataset). Ending gross debt and ending cash pull the D-020 scenario-selected midpoints; quarterly paths are linear interpolations between known endpoints, not a modeled issuance/repayment schedule (no such schedule is disclosed — Gate 7 Sec2 item 22 disposition). Net new debt/financing is shown as an implied plug (Ending − Beginning), not a security-by-security build. Interest expense pulls the scenario-selected annual midpoint, spread evenly by quarter (no disclosed seasonality for interest). Lease commencement schedule spreads the disclosed $260B uncommenced-lease pool (C-06) evenly across the FY2027-FY2029 commencement window stated in the FY26 10-K — a simplification given no finer schedule exists (Gate 7 Sec2 item 16 disposition).</t>
        </is>
      </c>
    </row>
    <row r="4">
      <c r="A4" s="23" t="inlineStr">
        <is>
          <t>Field ($mm)</t>
        </is>
      </c>
      <c r="B4" s="23" t="inlineStr">
        <is>
          <t>FY27_Q1</t>
        </is>
      </c>
      <c r="C4" s="23" t="inlineStr">
        <is>
          <t>FY27_Q2</t>
        </is>
      </c>
      <c r="D4" s="23" t="inlineStr">
        <is>
          <t>FY27_Q3</t>
        </is>
      </c>
      <c r="E4" s="23" t="inlineStr">
        <is>
          <t>FY27_Q4</t>
        </is>
      </c>
      <c r="F4" s="23" t="inlineStr">
        <is>
          <t>FY28_Q1</t>
        </is>
      </c>
      <c r="G4" s="23" t="inlineStr">
        <is>
          <t>FY28_Q2</t>
        </is>
      </c>
      <c r="H4" s="23" t="inlineStr">
        <is>
          <t>FY28_Q3</t>
        </is>
      </c>
      <c r="I4" s="23" t="inlineStr">
        <is>
          <t>FY28_Q4</t>
        </is>
      </c>
      <c r="J4" s="23" t="inlineStr"/>
      <c r="K4" s="23" t="inlineStr">
        <is>
          <t>FY2027</t>
        </is>
      </c>
      <c r="L4" s="23" t="inlineStr">
        <is>
          <t>FY2028</t>
        </is>
      </c>
    </row>
    <row r="5">
      <c r="A5" s="9" t="inlineStr">
        <is>
          <t>Beginning gross debt (FY26 Q4 actual)</t>
        </is>
      </c>
      <c r="B5" s="20">
        <f>'Historical Actuals'!I29</f>
        <v/>
      </c>
    </row>
    <row r="6">
      <c r="A6" s="9" t="inlineStr">
        <is>
          <t>Ending gross debt, annual — scenario-selected (D-020)</t>
        </is>
      </c>
      <c r="K6" s="20">
        <f>'Scenario Assumptions'!I22*1000</f>
        <v/>
      </c>
      <c r="L6" s="20">
        <f>'Scenario Assumptions'!I23*1000</f>
        <v/>
      </c>
    </row>
    <row r="7">
      <c r="A7" s="9" t="inlineStr">
        <is>
          <t>Quarterly gross debt (linear interpolation, beginning to ending)</t>
        </is>
      </c>
      <c r="B7" s="11">
        <f>$B$5+($K$6-$B$5)*1/4</f>
        <v/>
      </c>
      <c r="C7" s="11">
        <f>$B$5+($K$6-$B$5)*2/4</f>
        <v/>
      </c>
      <c r="D7" s="11">
        <f>$B$5+($K$6-$B$5)*3/4</f>
        <v/>
      </c>
      <c r="E7" s="11">
        <f>$B$5+($K$6-$B$5)*4/4</f>
        <v/>
      </c>
      <c r="F7" s="11">
        <f>$K$6+($L$6-$K$6)*1/4</f>
        <v/>
      </c>
      <c r="G7" s="11">
        <f>$K$6+($L$6-$K$6)*2/4</f>
        <v/>
      </c>
      <c r="H7" s="11">
        <f>$K$6+($L$6-$K$6)*3/4</f>
        <v/>
      </c>
      <c r="I7" s="11">
        <f>$K$6+($L$6-$K$6)*4/4</f>
        <v/>
      </c>
      <c r="K7" s="11">
        <f>E7</f>
        <v/>
      </c>
      <c r="L7" s="11">
        <f>I7</f>
        <v/>
      </c>
    </row>
    <row r="8">
      <c r="A8" s="19" t="inlineStr">
        <is>
          <t>Implied net debt issuance/(repayment), annual (plug = Ending − Beginning)</t>
        </is>
      </c>
      <c r="K8" s="21">
        <f>K6-$B$5</f>
        <v/>
      </c>
      <c r="L8" s="21">
        <f>L6-K6</f>
        <v/>
      </c>
    </row>
    <row r="10">
      <c r="A10" s="9" t="inlineStr">
        <is>
          <t>Interest expense, annual — scenario-selected (D-020)</t>
        </is>
      </c>
      <c r="K10" s="20">
        <f>'Scenario Assumptions'!I20*1000</f>
        <v/>
      </c>
      <c r="L10" s="20">
        <f>'Scenario Assumptions'!I21*1000</f>
        <v/>
      </c>
    </row>
    <row r="11">
      <c r="A11" s="9" t="inlineStr">
        <is>
          <t>Interest expense, quarterly (even spread)</t>
        </is>
      </c>
      <c r="B11" s="11">
        <f>$K$10/4</f>
        <v/>
      </c>
      <c r="C11" s="11">
        <f>$K$10/4</f>
        <v/>
      </c>
      <c r="D11" s="11">
        <f>$K$10/4</f>
        <v/>
      </c>
      <c r="E11" s="11">
        <f>$K$10/4</f>
        <v/>
      </c>
      <c r="F11" s="11">
        <f>$L$10/4</f>
        <v/>
      </c>
      <c r="G11" s="11">
        <f>$L$10/4</f>
        <v/>
      </c>
      <c r="H11" s="11">
        <f>$L$10/4</f>
        <v/>
      </c>
      <c r="I11" s="11">
        <f>$L$10/4</f>
        <v/>
      </c>
    </row>
    <row r="13">
      <c r="A13" s="9" t="inlineStr">
        <is>
          <t>On-balance-sheet lease liabilities, beginning (FY26 Q4 actual: current+noncurrent)</t>
        </is>
      </c>
      <c r="B13" s="20">
        <f>'Historical Actuals'!I31+'Historical Actuals'!I32</f>
        <v/>
      </c>
    </row>
    <row r="14">
      <c r="A14" s="9" t="inlineStr">
        <is>
          <t>Uncommenced lease pool (C-06, FY26 10-K: $260B, commencing FY2027-FY2029)</t>
        </is>
      </c>
      <c r="B14" s="10" t="n">
        <v>260000</v>
      </c>
    </row>
    <row r="15">
      <c r="A15" s="9" t="inlineStr">
        <is>
          <t>Lease commencement per fiscal year (pool / 3 years — simplification, no finer schedule disclosed)</t>
        </is>
      </c>
      <c r="K15" s="11">
        <f>$B$14/3</f>
        <v/>
      </c>
      <c r="L15" s="11">
        <f>$B$14/3</f>
        <v/>
      </c>
    </row>
    <row r="16">
      <c r="A16" s="4" t="inlineStr">
        <is>
          <t>On-balance-sheet lease liabilities, ending (cumulative: beginning + commenced-to-date)</t>
        </is>
      </c>
      <c r="K16" s="12">
        <f>$B$13+K15</f>
        <v/>
      </c>
      <c r="L16" s="12">
        <f>K16+L15</f>
        <v/>
      </c>
    </row>
    <row r="18">
      <c r="A18" s="9" t="inlineStr">
        <is>
          <t>Beginning cash (FY26 Q4 actual)</t>
        </is>
      </c>
      <c r="B18" s="20">
        <f>'Historical Actuals'!I30</f>
        <v/>
      </c>
    </row>
    <row r="19">
      <c r="A19" s="9" t="inlineStr">
        <is>
          <t>Ending cash, annual — scenario-selected (D-020)</t>
        </is>
      </c>
      <c r="K19" s="20">
        <f>'Scenario Assumptions'!I24*1000</f>
        <v/>
      </c>
      <c r="L19" s="20">
        <f>'Scenario Assumptions'!I25*1000</f>
        <v/>
      </c>
    </row>
    <row r="20">
      <c r="A20" s="9" t="inlineStr">
        <is>
          <t>Quarterly cash (linear interpolation, beginning to ending)</t>
        </is>
      </c>
      <c r="B20" s="11">
        <f>$B$18+($K$19-$B$18)*1/4</f>
        <v/>
      </c>
      <c r="C20" s="11">
        <f>$B$18+($K$19-$B$18)*2/4</f>
        <v/>
      </c>
      <c r="D20" s="11">
        <f>$B$18+($K$19-$B$18)*3/4</f>
        <v/>
      </c>
      <c r="E20" s="11">
        <f>$B$18+($K$19-$B$18)*4/4</f>
        <v/>
      </c>
      <c r="F20" s="11">
        <f>$K$19+($L$19-$K$19)*1/4</f>
        <v/>
      </c>
      <c r="G20" s="11">
        <f>$K$19+($L$19-$K$19)*2/4</f>
        <v/>
      </c>
      <c r="H20" s="11">
        <f>$K$19+($L$19-$K$19)*3/4</f>
        <v/>
      </c>
      <c r="I20" s="11">
        <f>$K$19+($L$19-$K$19)*4/4</f>
        <v/>
      </c>
      <c r="K20" s="11">
        <f>E20</f>
        <v/>
      </c>
      <c r="L20" s="11">
        <f>I20</f>
        <v/>
      </c>
    </row>
    <row r="22">
      <c r="A22" s="9" t="inlineStr">
        <is>
          <t>Quarterly on-balance-sheet lease liabilities (linear interpolation, beginning to ending)</t>
        </is>
      </c>
      <c r="B22" s="11">
        <f>$B$13+($K$16-$B$13)*1/4</f>
        <v/>
      </c>
      <c r="C22" s="11">
        <f>$B$13+($K$16-$B$13)*2/4</f>
        <v/>
      </c>
      <c r="D22" s="11">
        <f>$B$13+($K$16-$B$13)*3/4</f>
        <v/>
      </c>
      <c r="E22" s="11">
        <f>$B$13+($K$16-$B$13)*4/4</f>
        <v/>
      </c>
      <c r="F22" s="11">
        <f>$K$16+($L$16-$K$16)*1/4</f>
        <v/>
      </c>
      <c r="G22" s="11">
        <f>$K$16+($L$16-$K$16)*2/4</f>
        <v/>
      </c>
      <c r="H22" s="11">
        <f>$K$16+($L$16-$K$16)*3/4</f>
        <v/>
      </c>
      <c r="I22" s="11">
        <f>$K$16+($L$16-$K$16)*4/4</f>
        <v/>
      </c>
      <c r="K22" s="11">
        <f>E22</f>
        <v/>
      </c>
      <c r="L22" s="11">
        <f>I22</f>
        <v/>
      </c>
    </row>
    <row r="24">
      <c r="A24" s="9" t="inlineStr">
        <is>
          <t>Marketable securities (held flat at FY26 Q4 actual — no forecast built, immaterial: $605mm)</t>
        </is>
      </c>
      <c r="B24" s="10" t="n">
        <v>605</v>
      </c>
    </row>
    <row r="25">
      <c r="A25" s="9" t="inlineStr">
        <is>
          <t>Preferred/mandatory convertible carrying value (held flat at FY26 Q4 actual — Q-11 treatment unresolved)</t>
        </is>
      </c>
      <c r="B25" s="10" t="n">
        <v>4954</v>
      </c>
    </row>
  </sheetData>
  <mergeCells count="1">
    <mergeCell ref="A2:K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9"/>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4" customWidth="1" min="10" max="10"/>
    <col width="11" customWidth="1" min="11" max="11"/>
    <col width="11" customWidth="1" min="12" max="12"/>
  </cols>
  <sheetData>
    <row r="1">
      <c r="A1" s="1" t="inlineStr">
        <is>
          <t>Equity &amp; Diluted Shares — FY2027 Q1 through FY2028 Q4</t>
        </is>
      </c>
    </row>
    <row r="2" ht="45" customHeight="1">
      <c r="A2" s="7" t="inlineStr">
        <is>
          <t>Diluted shares pull the D-020 scenario-selected midpoint directly (in billions, per the ratified table) rather than being re-derived from an assumed ATM issuance price - Gate 7 Sec6 flags ATM price/pace as explicitly reflexive with the (not-yet-computed) valuation output, so backing into shares from a guessed price here would be circular. Quarterly path is a linear interpolation from the FY26 Q4 actual to each ratified annual endpoint.</t>
        </is>
      </c>
    </row>
    <row r="4">
      <c r="A4" s="23" t="inlineStr">
        <is>
          <t>Field</t>
        </is>
      </c>
      <c r="B4" s="23" t="inlineStr">
        <is>
          <t>FY27_Q1</t>
        </is>
      </c>
      <c r="C4" s="23" t="inlineStr">
        <is>
          <t>FY27_Q2</t>
        </is>
      </c>
      <c r="D4" s="23" t="inlineStr">
        <is>
          <t>FY27_Q3</t>
        </is>
      </c>
      <c r="E4" s="23" t="inlineStr">
        <is>
          <t>FY27_Q4</t>
        </is>
      </c>
      <c r="F4" s="23" t="inlineStr">
        <is>
          <t>FY28_Q1</t>
        </is>
      </c>
      <c r="G4" s="23" t="inlineStr">
        <is>
          <t>FY28_Q2</t>
        </is>
      </c>
      <c r="H4" s="23" t="inlineStr">
        <is>
          <t>FY28_Q3</t>
        </is>
      </c>
      <c r="I4" s="23" t="inlineStr">
        <is>
          <t>FY28_Q4</t>
        </is>
      </c>
      <c r="J4" s="23" t="inlineStr"/>
      <c r="K4" s="23" t="inlineStr">
        <is>
          <t>FY2027</t>
        </is>
      </c>
      <c r="L4" s="23" t="inlineStr">
        <is>
          <t>FY2028</t>
        </is>
      </c>
    </row>
    <row r="5">
      <c r="A5" s="9" t="inlineStr">
        <is>
          <t>Beginning diluted shares, mm (FY26 Q4 actual)</t>
        </is>
      </c>
      <c r="B5" s="25">
        <f>'Historical Actuals'!I33</f>
        <v/>
      </c>
    </row>
    <row r="6">
      <c r="A6" s="9" t="inlineStr">
        <is>
          <t>Ending diluted shares, annual, mm — scenario-selected (D-020, x1000 from B)</t>
        </is>
      </c>
      <c r="K6" s="25">
        <f>'Scenario Assumptions'!I26*1000</f>
        <v/>
      </c>
      <c r="L6" s="25">
        <f>'Scenario Assumptions'!I27*1000</f>
        <v/>
      </c>
    </row>
    <row r="7">
      <c r="A7" s="9" t="inlineStr">
        <is>
          <t>Quarterly diluted shares, mm (linear interpolation)</t>
        </is>
      </c>
      <c r="B7" s="26">
        <f>$B$5+($K$6-$B$5)*1/4</f>
        <v/>
      </c>
      <c r="C7" s="26">
        <f>$B$5+($K$6-$B$5)*2/4</f>
        <v/>
      </c>
      <c r="D7" s="26">
        <f>$B$5+($K$6-$B$5)*3/4</f>
        <v/>
      </c>
      <c r="E7" s="26">
        <f>$B$5+($K$6-$B$5)*4/4</f>
        <v/>
      </c>
      <c r="F7" s="26">
        <f>$K$6+($L$6-$K$6)*1/4</f>
        <v/>
      </c>
      <c r="G7" s="26">
        <f>$K$6+($L$6-$K$6)*2/4</f>
        <v/>
      </c>
      <c r="H7" s="26">
        <f>$K$6+($L$6-$K$6)*3/4</f>
        <v/>
      </c>
      <c r="I7" s="26">
        <f>$K$6+($L$6-$K$6)*4/4</f>
        <v/>
      </c>
      <c r="K7" s="26">
        <f>E7</f>
        <v/>
      </c>
      <c r="L7" s="26">
        <f>I7</f>
        <v/>
      </c>
    </row>
    <row r="9">
      <c r="A9" s="19" t="inlineStr">
        <is>
          <t>Implied net share change, annual (plug = Ending − Beginning, mm)</t>
        </is>
      </c>
      <c r="K9" s="27">
        <f>K6-$B$5</f>
        <v/>
      </c>
      <c r="L9" s="27">
        <f>L6-K6</f>
        <v/>
      </c>
    </row>
  </sheetData>
  <mergeCells count="1">
    <mergeCell ref="A2:K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9"/>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4" customWidth="1" min="10" max="10"/>
    <col width="11" customWidth="1" min="11" max="11"/>
    <col width="11" customWidth="1" min="12" max="12"/>
  </cols>
  <sheetData>
    <row r="1">
      <c r="A1" s="1" t="inlineStr">
        <is>
          <t>Margin &amp; EBITDA — Forecast (top-down, per Gate 7 Sec 5)</t>
        </is>
      </c>
    </row>
    <row r="2" ht="60" customHeight="1">
      <c r="A2" s="7" t="inlineStr">
        <is>
          <t>No stream-level margin is ever disclosed by Oracle (architecture Sec 8/16), so margin is forecast top-down from the scenario-switched consolidated ratios, applied to the bottom-up revenue build on the Revenue Forecast tab. EBITDA uses the ratified D-014 definition: GAAP operating income + D&amp;A, with D&amp;A now linked to the split Depreciation/Amortization build on the Capex &amp; Depreciation tab (Gate 12).</t>
        </is>
      </c>
    </row>
    <row r="4">
      <c r="A4" s="8" t="inlineStr">
        <is>
          <t>Field</t>
        </is>
      </c>
      <c r="B4" s="8" t="inlineStr">
        <is>
          <t>FY27_Q1</t>
        </is>
      </c>
      <c r="C4" s="8" t="inlineStr">
        <is>
          <t>FY27_Q2</t>
        </is>
      </c>
      <c r="D4" s="8" t="inlineStr">
        <is>
          <t>FY27_Q3</t>
        </is>
      </c>
      <c r="E4" s="8" t="inlineStr">
        <is>
          <t>FY27_Q4</t>
        </is>
      </c>
      <c r="F4" s="8" t="inlineStr">
        <is>
          <t>FY28_Q1</t>
        </is>
      </c>
      <c r="G4" s="8" t="inlineStr">
        <is>
          <t>FY28_Q2</t>
        </is>
      </c>
      <c r="H4" s="8" t="inlineStr">
        <is>
          <t>FY28_Q3</t>
        </is>
      </c>
      <c r="I4" s="8" t="inlineStr">
        <is>
          <t>FY28_Q4</t>
        </is>
      </c>
      <c r="J4" s="8" t="inlineStr"/>
      <c r="K4" s="8" t="inlineStr">
        <is>
          <t>FY2027</t>
        </is>
      </c>
      <c r="L4" s="8" t="inlineStr">
        <is>
          <t>FY2028</t>
        </is>
      </c>
    </row>
    <row r="5">
      <c r="A5" s="9" t="inlineStr">
        <is>
          <t>Total revenue (='Revenue Forecast'!)</t>
        </is>
      </c>
      <c r="B5" s="20">
        <f>'Revenue Forecast'!B35</f>
        <v/>
      </c>
      <c r="C5" s="20">
        <f>'Revenue Forecast'!C35</f>
        <v/>
      </c>
      <c r="D5" s="20">
        <f>'Revenue Forecast'!D35</f>
        <v/>
      </c>
      <c r="E5" s="20">
        <f>'Revenue Forecast'!E35</f>
        <v/>
      </c>
      <c r="F5" s="20">
        <f>'Revenue Forecast'!F35</f>
        <v/>
      </c>
      <c r="G5" s="20">
        <f>'Revenue Forecast'!G35</f>
        <v/>
      </c>
      <c r="H5" s="20">
        <f>'Revenue Forecast'!H35</f>
        <v/>
      </c>
      <c r="I5" s="20">
        <f>'Revenue Forecast'!I35</f>
        <v/>
      </c>
      <c r="K5" s="20">
        <f>'Revenue Forecast'!K35</f>
        <v/>
      </c>
      <c r="L5" s="20">
        <f>'Revenue Forecast'!L35</f>
        <v/>
      </c>
    </row>
    <row r="6">
      <c r="A6" s="9" t="inlineStr">
        <is>
          <t>GAAP gross margin % (scenario-selected, annual)</t>
        </is>
      </c>
      <c r="B6" s="13">
        <f>$K$6</f>
        <v/>
      </c>
      <c r="C6" s="13">
        <f>$K$6</f>
        <v/>
      </c>
      <c r="D6" s="13">
        <f>$K$6</f>
        <v/>
      </c>
      <c r="E6" s="13">
        <f>$K$6</f>
        <v/>
      </c>
      <c r="F6" s="13">
        <f>$L$6</f>
        <v/>
      </c>
      <c r="G6" s="13">
        <f>$L$6</f>
        <v/>
      </c>
      <c r="H6" s="13">
        <f>$L$6</f>
        <v/>
      </c>
      <c r="I6" s="13">
        <f>$L$6</f>
        <v/>
      </c>
      <c r="K6" s="18">
        <f>'Scenario Assumptions'!I11</f>
        <v/>
      </c>
      <c r="L6" s="18">
        <f>'Scenario Assumptions'!I12</f>
        <v/>
      </c>
    </row>
    <row r="7">
      <c r="A7" s="9" t="inlineStr">
        <is>
          <t>Gross profit (=Revenue x GAAP gross margin)</t>
        </is>
      </c>
      <c r="B7" s="11">
        <f>B5*B6</f>
        <v/>
      </c>
      <c r="C7" s="11">
        <f>C5*C6</f>
        <v/>
      </c>
      <c r="D7" s="11">
        <f>D5*D6</f>
        <v/>
      </c>
      <c r="E7" s="11">
        <f>E5*E6</f>
        <v/>
      </c>
      <c r="F7" s="11">
        <f>F5*F6</f>
        <v/>
      </c>
      <c r="G7" s="11">
        <f>G5*G6</f>
        <v/>
      </c>
      <c r="H7" s="11">
        <f>H5*H6</f>
        <v/>
      </c>
      <c r="I7" s="11">
        <f>I5*I6</f>
        <v/>
      </c>
      <c r="K7" s="11">
        <f>K5*K6</f>
        <v/>
      </c>
      <c r="L7" s="11">
        <f>L5*L6</f>
        <v/>
      </c>
    </row>
    <row r="8">
      <c r="A8" s="9" t="inlineStr">
        <is>
          <t>Non-GAAP operating margin % (scenario-selected, annual)</t>
        </is>
      </c>
      <c r="B8" s="13">
        <f>$K$8</f>
        <v/>
      </c>
      <c r="C8" s="13">
        <f>$K$8</f>
        <v/>
      </c>
      <c r="D8" s="13">
        <f>$K$8</f>
        <v/>
      </c>
      <c r="E8" s="13">
        <f>$K$8</f>
        <v/>
      </c>
      <c r="F8" s="13">
        <f>$L$8</f>
        <v/>
      </c>
      <c r="G8" s="13">
        <f>$L$8</f>
        <v/>
      </c>
      <c r="H8" s="13">
        <f>$L$8</f>
        <v/>
      </c>
      <c r="I8" s="13">
        <f>$L$8</f>
        <v/>
      </c>
      <c r="K8" s="18">
        <f>'Scenario Assumptions'!I13</f>
        <v/>
      </c>
      <c r="L8" s="18">
        <f>'Scenario Assumptions'!I14</f>
        <v/>
      </c>
    </row>
    <row r="9">
      <c r="A9" s="9" t="inlineStr">
        <is>
          <t>Non-GAAP operating income (=Revenue x Non-GAAP op margin)</t>
        </is>
      </c>
      <c r="B9" s="11">
        <f>B5*B8</f>
        <v/>
      </c>
      <c r="C9" s="11">
        <f>C5*C8</f>
        <v/>
      </c>
      <c r="D9" s="11">
        <f>D5*D8</f>
        <v/>
      </c>
      <c r="E9" s="11">
        <f>E5*E8</f>
        <v/>
      </c>
      <c r="F9" s="11">
        <f>F5*F8</f>
        <v/>
      </c>
      <c r="G9" s="11">
        <f>G5*G8</f>
        <v/>
      </c>
      <c r="H9" s="11">
        <f>H5*H8</f>
        <v/>
      </c>
      <c r="I9" s="11">
        <f>I5*I8</f>
        <v/>
      </c>
      <c r="K9" s="11">
        <f>K5*K8</f>
        <v/>
      </c>
      <c r="L9" s="11">
        <f>L5*L8</f>
        <v/>
      </c>
    </row>
    <row r="11">
      <c r="A11" s="9" t="inlineStr">
        <is>
          <t>D&amp;A (linked from Capex &amp; Depreciation tab: Depreciation + Amortization, per D-014)</t>
        </is>
      </c>
      <c r="B11" s="20">
        <f>'Capex &amp; Depreciation'!B15</f>
        <v/>
      </c>
      <c r="C11" s="20">
        <f>'Capex &amp; Depreciation'!C15</f>
        <v/>
      </c>
      <c r="D11" s="20">
        <f>'Capex &amp; Depreciation'!D15</f>
        <v/>
      </c>
      <c r="E11" s="20">
        <f>'Capex &amp; Depreciation'!E15</f>
        <v/>
      </c>
      <c r="F11" s="20">
        <f>'Capex &amp; Depreciation'!F15</f>
        <v/>
      </c>
      <c r="G11" s="20">
        <f>'Capex &amp; Depreciation'!G15</f>
        <v/>
      </c>
      <c r="H11" s="20">
        <f>'Capex &amp; Depreciation'!H15</f>
        <v/>
      </c>
      <c r="I11" s="20">
        <f>'Capex &amp; Depreciation'!I15</f>
        <v/>
      </c>
      <c r="K11" s="20">
        <f>'Capex &amp; Depreciation'!K15</f>
        <v/>
      </c>
      <c r="L11" s="20">
        <f>'Capex &amp; Depreciation'!L15</f>
        <v/>
      </c>
      <c r="M11" s="22" t="inlineStr">
        <is>
          <t>Now linked to the split Depreciation/Amortization build (Gate 12) instead of a combined envelope</t>
        </is>
      </c>
    </row>
    <row r="12">
      <c r="A12" s="4" t="inlineStr">
        <is>
          <t>EBITDA, annual (D-014: Non-GAAP op income proxy not used; = GAAP op income + D&amp;A)</t>
        </is>
      </c>
      <c r="M12" s="22" t="inlineStr">
        <is>
          <t>See note below - EBITDA built from GAAP operating income (row proxy) + D&amp;A envelope</t>
        </is>
      </c>
    </row>
    <row r="13">
      <c r="A13" s="9" t="inlineStr">
        <is>
          <t>GAAP operating margin % (historical FY26 actual, held flat - no ratified scenario range exists for this line)</t>
        </is>
      </c>
      <c r="B13" s="14" t="n">
        <v>0.3033</v>
      </c>
      <c r="C13" s="14" t="n">
        <v>0.3033</v>
      </c>
      <c r="D13" s="14" t="n">
        <v>0.3033</v>
      </c>
      <c r="E13" s="14" t="n">
        <v>0.3033</v>
      </c>
      <c r="F13" s="14" t="n">
        <v>0.3033</v>
      </c>
      <c r="G13" s="14" t="n">
        <v>0.3033</v>
      </c>
      <c r="H13" s="14" t="n">
        <v>0.3033</v>
      </c>
      <c r="I13" s="14" t="n">
        <v>0.3033</v>
      </c>
      <c r="K13" s="14" t="n">
        <v>0.3033</v>
      </c>
      <c r="L13" s="14" t="n">
        <v>0.3033</v>
      </c>
    </row>
    <row r="14">
      <c r="A14" s="9" t="inlineStr">
        <is>
          <t>GAAP operating income (=Revenue x GAAP operating margin)</t>
        </is>
      </c>
      <c r="B14" s="11">
        <f>B5*B13</f>
        <v/>
      </c>
      <c r="C14" s="11">
        <f>C5*C13</f>
        <v/>
      </c>
      <c r="D14" s="11">
        <f>D5*D13</f>
        <v/>
      </c>
      <c r="E14" s="11">
        <f>E5*E13</f>
        <v/>
      </c>
      <c r="F14" s="11">
        <f>F5*F13</f>
        <v/>
      </c>
      <c r="G14" s="11">
        <f>G5*G13</f>
        <v/>
      </c>
      <c r="H14" s="11">
        <f>H5*H13</f>
        <v/>
      </c>
      <c r="I14" s="11">
        <f>I5*I13</f>
        <v/>
      </c>
      <c r="K14" s="11">
        <f>K5*K13</f>
        <v/>
      </c>
      <c r="L14" s="11">
        <f>L5*L13</f>
        <v/>
      </c>
    </row>
    <row r="15">
      <c r="A15" s="4" t="inlineStr">
        <is>
          <t>EBITDA (D-014: GAAP operating income + D&amp;A envelope)</t>
        </is>
      </c>
      <c r="B15" s="12">
        <f>B14+B11</f>
        <v/>
      </c>
      <c r="C15" s="12">
        <f>C14+C11</f>
        <v/>
      </c>
      <c r="D15" s="12">
        <f>D14+D11</f>
        <v/>
      </c>
      <c r="E15" s="12">
        <f>E14+E11</f>
        <v/>
      </c>
      <c r="F15" s="12">
        <f>F14+F11</f>
        <v/>
      </c>
      <c r="G15" s="12">
        <f>G14+G11</f>
        <v/>
      </c>
      <c r="H15" s="12">
        <f>H14+H11</f>
        <v/>
      </c>
      <c r="I15" s="12">
        <f>I14+I11</f>
        <v/>
      </c>
      <c r="K15" s="12">
        <f>K14+K11</f>
        <v/>
      </c>
      <c r="L15" s="12">
        <f>L14+L11</f>
        <v/>
      </c>
    </row>
    <row r="17" ht="60" customHeight="1">
      <c r="A17" s="7" t="inlineStr">
        <is>
          <t>Note: GAAP operating margin is held at the FY26 annual actual (30.33%) rather than scenario-switched, because D-020 ratified GAAP GROSS margin and Non-GAAP OPERATING margin, not a GAAP operating margin range - there is no ratified number to switch this line to. Gate 12 should either derive GAAP operating income as Non-GAAP operating income less the historical GAAP/non-GAAP opex bridge (OPEX_040/050/060/070), or ask the user to ratify a GAAP operating margin range directly.</t>
        </is>
      </c>
    </row>
    <row r="20">
      <c r="A20" s="3" t="inlineStr">
        <is>
          <t>Net Income &amp; EPS bridge (Gate 13)</t>
        </is>
      </c>
    </row>
    <row r="21">
      <c r="A21" s="9" t="inlineStr">
        <is>
          <t>Interest expense (link, Debt/Leases &amp; Cash tab)</t>
        </is>
      </c>
      <c r="B21" s="20">
        <f>'Debt, Leases &amp; Cash'!B11</f>
        <v/>
      </c>
      <c r="C21" s="20">
        <f>'Debt, Leases &amp; Cash'!C11</f>
        <v/>
      </c>
      <c r="D21" s="20">
        <f>'Debt, Leases &amp; Cash'!D11</f>
        <v/>
      </c>
      <c r="E21" s="20">
        <f>'Debt, Leases &amp; Cash'!E11</f>
        <v/>
      </c>
      <c r="F21" s="20">
        <f>'Debt, Leases &amp; Cash'!F11</f>
        <v/>
      </c>
      <c r="G21" s="20">
        <f>'Debt, Leases &amp; Cash'!G11</f>
        <v/>
      </c>
      <c r="H21" s="20">
        <f>'Debt, Leases &amp; Cash'!H11</f>
        <v/>
      </c>
      <c r="I21" s="20">
        <f>'Debt, Leases &amp; Cash'!I11</f>
        <v/>
      </c>
      <c r="K21" s="20">
        <f>'Debt, Leases &amp; Cash'!K11</f>
        <v/>
      </c>
      <c r="L21" s="20">
        <f>'Debt, Leases &amp; Cash'!L11</f>
        <v/>
      </c>
    </row>
    <row r="22">
      <c r="A22" s="9" t="inlineStr">
        <is>
          <t>Pre-tax income (=GAAP operating income − interest expense; non-operating items excluded by construction, per D-014)</t>
        </is>
      </c>
      <c r="B22" s="11">
        <f>B14-B21</f>
        <v/>
      </c>
      <c r="C22" s="11">
        <f>C14-C21</f>
        <v/>
      </c>
      <c r="D22" s="11">
        <f>D14-D21</f>
        <v/>
      </c>
      <c r="E22" s="11">
        <f>E14-E21</f>
        <v/>
      </c>
      <c r="F22" s="11">
        <f>F14-F21</f>
        <v/>
      </c>
      <c r="G22" s="11">
        <f>G14-G21</f>
        <v/>
      </c>
      <c r="H22" s="11">
        <f>H14-H21</f>
        <v/>
      </c>
      <c r="I22" s="11">
        <f>I14-I21</f>
        <v/>
      </c>
      <c r="K22" s="11">
        <f>K14-K21</f>
        <v/>
      </c>
      <c r="L22" s="11">
        <f>L14-L21</f>
        <v/>
      </c>
    </row>
    <row r="23">
      <c r="A23" s="9" t="inlineStr">
        <is>
          <t>Effective tax rate (trailing FY26 actual, held flat — no ratified scenario range)</t>
        </is>
      </c>
      <c r="B23" s="14" t="n">
        <v>0.1262</v>
      </c>
      <c r="C23" s="14" t="n">
        <v>0.1262</v>
      </c>
      <c r="D23" s="14" t="n">
        <v>0.1262</v>
      </c>
      <c r="E23" s="14" t="n">
        <v>0.1262</v>
      </c>
      <c r="F23" s="14" t="n">
        <v>0.1262</v>
      </c>
      <c r="G23" s="14" t="n">
        <v>0.1262</v>
      </c>
      <c r="H23" s="14" t="n">
        <v>0.1262</v>
      </c>
      <c r="I23" s="14" t="n">
        <v>0.1262</v>
      </c>
      <c r="K23" s="14" t="n">
        <v>0.1262</v>
      </c>
      <c r="L23" s="14" t="n">
        <v>0.1262</v>
      </c>
    </row>
    <row r="24">
      <c r="A24" s="9" t="inlineStr">
        <is>
          <t>Income tax provision</t>
        </is>
      </c>
      <c r="B24" s="11">
        <f>B22*B23</f>
        <v/>
      </c>
      <c r="C24" s="11">
        <f>C22*C23</f>
        <v/>
      </c>
      <c r="D24" s="11">
        <f>D22*D23</f>
        <v/>
      </c>
      <c r="E24" s="11">
        <f>E22*E23</f>
        <v/>
      </c>
      <c r="F24" s="11">
        <f>F22*F23</f>
        <v/>
      </c>
      <c r="G24" s="11">
        <f>G22*G23</f>
        <v/>
      </c>
      <c r="H24" s="11">
        <f>H22*H23</f>
        <v/>
      </c>
      <c r="I24" s="11">
        <f>I22*I23</f>
        <v/>
      </c>
      <c r="K24" s="11">
        <f>K22*K23</f>
        <v/>
      </c>
      <c r="L24" s="11">
        <f>L22*L23</f>
        <v/>
      </c>
    </row>
    <row r="25">
      <c r="A25" s="9" t="inlineStr">
        <is>
          <t>GAAP net income (=Pre-tax income − tax provision)</t>
        </is>
      </c>
      <c r="B25" s="11">
        <f>B22-B24</f>
        <v/>
      </c>
      <c r="C25" s="11">
        <f>C22-C24</f>
        <v/>
      </c>
      <c r="D25" s="11">
        <f>D22-D24</f>
        <v/>
      </c>
      <c r="E25" s="11">
        <f>E22-E24</f>
        <v/>
      </c>
      <c r="F25" s="11">
        <f>F22-F24</f>
        <v/>
      </c>
      <c r="G25" s="11">
        <f>G22-G24</f>
        <v/>
      </c>
      <c r="H25" s="11">
        <f>H22-H24</f>
        <v/>
      </c>
      <c r="I25" s="11">
        <f>I22-I24</f>
        <v/>
      </c>
      <c r="K25" s="11">
        <f>K22-K24</f>
        <v/>
      </c>
      <c r="L25" s="11">
        <f>L22-L24</f>
        <v/>
      </c>
    </row>
    <row r="26">
      <c r="A26" s="9" t="inlineStr">
        <is>
          <t>Preferred dividends (held flat at FY26 Q4 actual rate, $81mm/qtr — Q-11 debt-like default)</t>
        </is>
      </c>
      <c r="B26" s="10" t="n">
        <v>81</v>
      </c>
      <c r="C26" s="10" t="n">
        <v>81</v>
      </c>
      <c r="D26" s="10" t="n">
        <v>81</v>
      </c>
      <c r="E26" s="10" t="n">
        <v>81</v>
      </c>
      <c r="F26" s="10" t="n">
        <v>81</v>
      </c>
      <c r="G26" s="10" t="n">
        <v>81</v>
      </c>
      <c r="H26" s="10" t="n">
        <v>81</v>
      </c>
      <c r="I26" s="10" t="n">
        <v>81</v>
      </c>
      <c r="K26" s="11">
        <f>SUM(B26:E26)</f>
        <v/>
      </c>
      <c r="L26" s="11">
        <f>SUM(F26:I26)</f>
        <v/>
      </c>
    </row>
    <row r="27">
      <c r="A27" s="4" t="inlineStr">
        <is>
          <t>Net income available to common shareholders</t>
        </is>
      </c>
      <c r="B27" s="12">
        <f>B25-B26</f>
        <v/>
      </c>
      <c r="C27" s="12">
        <f>C25-C26</f>
        <v/>
      </c>
      <c r="D27" s="12">
        <f>D25-D26</f>
        <v/>
      </c>
      <c r="E27" s="12">
        <f>E25-E26</f>
        <v/>
      </c>
      <c r="F27" s="12">
        <f>F25-F26</f>
        <v/>
      </c>
      <c r="G27" s="12">
        <f>G25-G26</f>
        <v/>
      </c>
      <c r="H27" s="12">
        <f>H25-H26</f>
        <v/>
      </c>
      <c r="I27" s="12">
        <f>I25-I26</f>
        <v/>
      </c>
      <c r="K27" s="12">
        <f>K25-K26</f>
        <v/>
      </c>
      <c r="L27" s="12">
        <f>L25-L26</f>
        <v/>
      </c>
    </row>
    <row r="28">
      <c r="A28" s="9" t="inlineStr">
        <is>
          <t>Diluted shares, mm (link, Equity &amp; Shares tab)</t>
        </is>
      </c>
      <c r="B28" s="25">
        <f>'Equity &amp; Shares'!B7</f>
        <v/>
      </c>
      <c r="C28" s="25">
        <f>'Equity &amp; Shares'!C7</f>
        <v/>
      </c>
      <c r="D28" s="25">
        <f>'Equity &amp; Shares'!D7</f>
        <v/>
      </c>
      <c r="E28" s="25">
        <f>'Equity &amp; Shares'!E7</f>
        <v/>
      </c>
      <c r="F28" s="25">
        <f>'Equity &amp; Shares'!F7</f>
        <v/>
      </c>
      <c r="G28" s="25">
        <f>'Equity &amp; Shares'!G7</f>
        <v/>
      </c>
      <c r="H28" s="25">
        <f>'Equity &amp; Shares'!H7</f>
        <v/>
      </c>
      <c r="I28" s="25">
        <f>'Equity &amp; Shares'!I7</f>
        <v/>
      </c>
      <c r="K28" s="25">
        <f>'Equity &amp; Shares'!K7</f>
        <v/>
      </c>
      <c r="L28" s="25">
        <f>'Equity &amp; Shares'!L7</f>
        <v/>
      </c>
    </row>
    <row r="29">
      <c r="A29" s="4" t="inlineStr">
        <is>
          <t>GAAP diluted EPS</t>
        </is>
      </c>
      <c r="B29" s="29">
        <f>B27/B28</f>
        <v/>
      </c>
      <c r="C29" s="29">
        <f>C27/C28</f>
        <v/>
      </c>
      <c r="D29" s="29">
        <f>D27/D28</f>
        <v/>
      </c>
      <c r="E29" s="29">
        <f>E27/E28</f>
        <v/>
      </c>
      <c r="F29" s="29">
        <f>F27/F28</f>
        <v/>
      </c>
      <c r="G29" s="29">
        <f>G27/G28</f>
        <v/>
      </c>
      <c r="H29" s="29">
        <f>H27/H28</f>
        <v/>
      </c>
      <c r="I29" s="29">
        <f>I27/I28</f>
        <v/>
      </c>
      <c r="K29" s="29">
        <f>K27/K28</f>
        <v/>
      </c>
      <c r="L29" s="29">
        <f>L27/L28</f>
        <v/>
      </c>
    </row>
  </sheetData>
  <mergeCells count="2">
    <mergeCell ref="A2:K2"/>
    <mergeCell ref="A17:K1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3"/>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4" customWidth="1" min="10" max="10"/>
    <col width="11" customWidth="1" min="11" max="11"/>
    <col width="11" customWidth="1" min="12" max="12"/>
  </cols>
  <sheetData>
    <row r="1">
      <c r="A1" s="1" t="inlineStr">
        <is>
          <t>Cash Flow &amp; Returns — includes D-021's five capital-adjusted valuation controls</t>
        </is>
      </c>
    </row>
    <row r="2" ht="75" customHeight="1">
      <c r="A2" s="7" t="inlineStr">
        <is>
          <t>Operating cash flow is solved as a PLUG from the cash identity (Beginning cash + OCF − Net cash capex + Net debt issuance = Ending cash), since D-020 ratifies the endpoints (ending cash, ending debt) but not a full operating cash flow build. The plug absorbs dividends, buybacks, and any other financing/investing items not separately modeled at Gate 12 - it is a reconciling figure, not a bottom-up forecast, and is labeled as such. Rows below it (EBITDA less capex, OCF less capex, capex/revenue, lease-adjusted net leverage) are the five controls the primary EV/NTM EBITDA method is required to carry alongside it, per D-021 Sec1. Incremental ROIC (D-021's fifth control) is NOT built - it needs an invested-capital base beyond Gate 12's balance-sheet scope; flagged for Gate 13.</t>
        </is>
      </c>
    </row>
    <row r="4">
      <c r="A4" s="23" t="inlineStr">
        <is>
          <t>Field ($mm)</t>
        </is>
      </c>
      <c r="B4" s="23" t="inlineStr">
        <is>
          <t>FY27_Q1</t>
        </is>
      </c>
      <c r="C4" s="23" t="inlineStr">
        <is>
          <t>FY27_Q2</t>
        </is>
      </c>
      <c r="D4" s="23" t="inlineStr">
        <is>
          <t>FY27_Q3</t>
        </is>
      </c>
      <c r="E4" s="23" t="inlineStr">
        <is>
          <t>FY27_Q4</t>
        </is>
      </c>
      <c r="F4" s="23" t="inlineStr">
        <is>
          <t>FY28_Q1</t>
        </is>
      </c>
      <c r="G4" s="23" t="inlineStr">
        <is>
          <t>FY28_Q2</t>
        </is>
      </c>
      <c r="H4" s="23" t="inlineStr">
        <is>
          <t>FY28_Q3</t>
        </is>
      </c>
      <c r="I4" s="23" t="inlineStr">
        <is>
          <t>FY28_Q4</t>
        </is>
      </c>
      <c r="J4" s="23" t="inlineStr"/>
      <c r="K4" s="23" t="inlineStr">
        <is>
          <t>FY2027</t>
        </is>
      </c>
      <c r="L4" s="23" t="inlineStr">
        <is>
          <t>FY2028</t>
        </is>
      </c>
    </row>
    <row r="5">
      <c r="A5" s="9" t="inlineStr">
        <is>
          <t>Total revenue (link)</t>
        </is>
      </c>
      <c r="B5" s="20">
        <f>'Margin &amp; EBITDA'!B5</f>
        <v/>
      </c>
      <c r="C5" s="20">
        <f>'Margin &amp; EBITDA'!C5</f>
        <v/>
      </c>
      <c r="D5" s="20">
        <f>'Margin &amp; EBITDA'!D5</f>
        <v/>
      </c>
      <c r="E5" s="20">
        <f>'Margin &amp; EBITDA'!E5</f>
        <v/>
      </c>
      <c r="F5" s="20">
        <f>'Margin &amp; EBITDA'!F5</f>
        <v/>
      </c>
      <c r="G5" s="20">
        <f>'Margin &amp; EBITDA'!G5</f>
        <v/>
      </c>
      <c r="H5" s="20">
        <f>'Margin &amp; EBITDA'!H5</f>
        <v/>
      </c>
      <c r="I5" s="20">
        <f>'Margin &amp; EBITDA'!I5</f>
        <v/>
      </c>
      <c r="K5" s="20">
        <f>'Margin &amp; EBITDA'!K5</f>
        <v/>
      </c>
      <c r="L5" s="20">
        <f>'Margin &amp; EBITDA'!L5</f>
        <v/>
      </c>
    </row>
    <row r="6">
      <c r="A6" s="9" t="inlineStr">
        <is>
          <t>EBITDA (link, D-014 definition)</t>
        </is>
      </c>
      <c r="B6" s="20">
        <f>'Margin &amp; EBITDA'!B15</f>
        <v/>
      </c>
      <c r="C6" s="20">
        <f>'Margin &amp; EBITDA'!C15</f>
        <v/>
      </c>
      <c r="D6" s="20">
        <f>'Margin &amp; EBITDA'!D15</f>
        <v/>
      </c>
      <c r="E6" s="20">
        <f>'Margin &amp; EBITDA'!E15</f>
        <v/>
      </c>
      <c r="F6" s="20">
        <f>'Margin &amp; EBITDA'!F15</f>
        <v/>
      </c>
      <c r="G6" s="20">
        <f>'Margin &amp; EBITDA'!G15</f>
        <v/>
      </c>
      <c r="H6" s="20">
        <f>'Margin &amp; EBITDA'!H15</f>
        <v/>
      </c>
      <c r="I6" s="20">
        <f>'Margin &amp; EBITDA'!I15</f>
        <v/>
      </c>
      <c r="K6" s="20">
        <f>'Margin &amp; EBITDA'!K15</f>
        <v/>
      </c>
      <c r="L6" s="20">
        <f>'Margin &amp; EBITDA'!L15</f>
        <v/>
      </c>
    </row>
    <row r="7">
      <c r="A7" s="9" t="inlineStr">
        <is>
          <t>Net cash capex (link, Capex &amp; Depreciation tab)</t>
        </is>
      </c>
      <c r="K7" s="20">
        <f>'Capex &amp; Depreciation'!K6</f>
        <v/>
      </c>
      <c r="L7" s="20">
        <f>'Capex &amp; Depreciation'!L6</f>
        <v/>
      </c>
    </row>
    <row r="8">
      <c r="A8" s="9" t="inlineStr">
        <is>
          <t>Gross reported capex (link, for the capex/revenue control)</t>
        </is>
      </c>
      <c r="K8" s="20">
        <f>'Capex &amp; Depreciation'!K5</f>
        <v/>
      </c>
      <c r="L8" s="20">
        <f>'Capex &amp; Depreciation'!L5</f>
        <v/>
      </c>
    </row>
    <row r="10">
      <c r="A10" s="9" t="inlineStr">
        <is>
          <t>Beginning cash (link)</t>
        </is>
      </c>
      <c r="K10" s="20">
        <f>'Debt, Leases &amp; Cash'!$B$18</f>
        <v/>
      </c>
    </row>
    <row r="11">
      <c r="A11" s="9" t="inlineStr">
        <is>
          <t>Ending cash (link)</t>
        </is>
      </c>
      <c r="K11" s="20">
        <f>'Debt, Leases &amp; Cash'!K19</f>
        <v/>
      </c>
      <c r="L11" s="20">
        <f>'Debt, Leases &amp; Cash'!L19</f>
        <v/>
      </c>
    </row>
    <row r="12">
      <c r="A12" s="9" t="inlineStr">
        <is>
          <t>Net debt issuance/(repayment) (link)</t>
        </is>
      </c>
      <c r="K12" s="20">
        <f>'Debt, Leases &amp; Cash'!K8</f>
        <v/>
      </c>
      <c r="L12" s="20">
        <f>'Debt, Leases &amp; Cash'!L8</f>
        <v/>
      </c>
    </row>
    <row r="13">
      <c r="A13" s="4" t="inlineStr">
        <is>
          <t>Implied operating cash flow (PLUG): Ending cash − Beginning cash + Net cash capex − Net debt issuance</t>
        </is>
      </c>
      <c r="K13" s="12">
        <f>K11-K10+K7-K12</f>
        <v/>
      </c>
      <c r="L13" s="12">
        <f>L11-K11+L7-L12</f>
        <v/>
      </c>
    </row>
    <row r="15">
      <c r="A15" s="4" t="inlineStr">
        <is>
          <t>Free cash flow (= Implied OCF − Net cash capex)</t>
        </is>
      </c>
      <c r="K15" s="12">
        <f>K13-K7</f>
        <v/>
      </c>
      <c r="L15" s="12">
        <f>L13-L7</f>
        <v/>
      </c>
    </row>
    <row r="17">
      <c r="A17" s="9" t="inlineStr">
        <is>
          <t>D-021 Control 1 — Capex as % of revenue (gross capex / total revenue)</t>
        </is>
      </c>
      <c r="K17" s="13">
        <f>K8/K5</f>
        <v/>
      </c>
      <c r="L17" s="13">
        <f>L8/L5</f>
        <v/>
      </c>
    </row>
    <row r="18">
      <c r="A18" s="9" t="inlineStr">
        <is>
          <t>D-021 Control 2 — EBITDA less capex (net cash capex)</t>
        </is>
      </c>
      <c r="K18" s="11">
        <f>K6-K7</f>
        <v/>
      </c>
      <c r="L18" s="11">
        <f>L6-L7</f>
        <v/>
      </c>
    </row>
    <row r="19">
      <c r="A19" s="9" t="inlineStr">
        <is>
          <t>D-021 Control 3 — Operating cash flow less capex (= FCF above)</t>
        </is>
      </c>
      <c r="K19" s="11">
        <f>K15</f>
        <v/>
      </c>
      <c r="L19" s="11">
        <f>L15</f>
        <v/>
      </c>
    </row>
    <row r="20">
      <c r="A20" s="9" t="inlineStr">
        <is>
          <t>D-021 Control 4 — Lease-adjusted net debt (gross debt + on-BS lease liabilities − cash)</t>
        </is>
      </c>
      <c r="K20" s="20">
        <f>'Debt, Leases &amp; Cash'!K6+'Debt, Leases &amp; Cash'!K16-'Debt, Leases &amp; Cash'!K19</f>
        <v/>
      </c>
      <c r="L20" s="20">
        <f>'Debt, Leases &amp; Cash'!L6+'Debt, Leases &amp; Cash'!L16-'Debt, Leases &amp; Cash'!L19</f>
        <v/>
      </c>
    </row>
    <row r="21">
      <c r="A21" s="4" t="inlineStr">
        <is>
          <t>D-021 Control 4 — Lease-adjusted net leverage (lease-adj. net debt / EBITDA)</t>
        </is>
      </c>
      <c r="K21" s="28">
        <f>K20/K6</f>
        <v/>
      </c>
      <c r="L21" s="28">
        <f>L20/L6</f>
        <v/>
      </c>
    </row>
    <row r="23">
      <c r="A23" s="2" t="inlineStr">
        <is>
          <t>D-021 Control 5 — Incremental ROIC — NOT built at Gate 12 (needs invested-capital base; Gate 13)</t>
        </is>
      </c>
    </row>
  </sheetData>
  <mergeCells count="1">
    <mergeCell ref="A2:K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6"/>
  <sheetViews>
    <sheetView showGridLines="0" workbookViewId="0">
      <selection activeCell="A1" sqref="A1"/>
    </sheetView>
  </sheetViews>
  <sheetFormatPr baseColWidth="8" defaultRowHeight="15"/>
  <cols>
    <col width="46" customWidth="1" min="1" max="1"/>
    <col width="20" customWidth="1" min="2" max="2"/>
    <col width="16" customWidth="1" min="3" max="3"/>
    <col width="16" customWidth="1" min="4" max="4"/>
    <col width="16" customWidth="1" min="5" max="5"/>
    <col width="16" customWidth="1" min="6" max="6"/>
    <col width="60" customWidth="1" min="7" max="7"/>
  </cols>
  <sheetData>
    <row r="1">
      <c r="A1" s="1" t="inlineStr">
        <is>
          <t>Valuation — NTM Aggregation &amp; Enterprise-to-Equity Bridge</t>
        </is>
      </c>
    </row>
    <row r="2" ht="105" customHeight="1">
      <c r="A2" s="7" t="inlineStr">
        <is>
          <t>Built per Framework Sec14/15 and D-021's methodology. NTM windows are exactly the four the Framework specifies (Q-07), summed directly from the forecast tabs. The enterprise-to-equity bridge components (debt, leases, preferred, cash) are pulled at the balance as of the quarter just completed at each valuation date. THE MULTIPLE CELLS BELOW ARE BLANK BY DESIGN: assigning a real EV/NTM EBITDA or P/NTM EPS multiple needs live, as-of-dated peer market data, which this session does not have (Q-08: FactSet connector unauthenticated; C-09: existing comp table is stale/single-sourced/illustrative-only per the Gate 9 methodology). Filling a real number into an LLM's general knowledge of current prices would violate this project's no-fabricated-data rule — so those cells stay blank, highlighted, for the user or an authenticated data source to fill in. An ILLUSTRATIVE-ONLY section further below demonstrates the mechanism using the Framework's own explicitly-unadopted candidate multiple ranges (never treat that section's output as a real target).</t>
        </is>
      </c>
    </row>
    <row r="4">
      <c r="A4" s="4" t="inlineStr">
        <is>
          <t>Scenario in effect (link, Control Panel)</t>
        </is>
      </c>
      <c r="B4" s="30">
        <f>'Control Panel'!B5</f>
        <v/>
      </c>
    </row>
    <row r="6">
      <c r="A6" s="3" t="inlineStr">
        <is>
          <t>1. NTM aggregation at each valuation date</t>
        </is>
      </c>
    </row>
    <row r="7">
      <c r="A7" s="23" t="inlineStr">
        <is>
          <t>Valuation date</t>
        </is>
      </c>
      <c r="B7" s="23" t="inlineStr">
        <is>
          <t>Expected timing</t>
        </is>
      </c>
      <c r="C7" s="23" t="inlineStr">
        <is>
          <t>NTM revenue ($mm)</t>
        </is>
      </c>
      <c r="D7" s="23" t="inlineStr">
        <is>
          <t>NTM EBITDA ($mm)</t>
        </is>
      </c>
      <c r="E7" s="23" t="inlineStr">
        <is>
          <t>NTM EPS ($)</t>
        </is>
      </c>
    </row>
    <row r="8">
      <c r="A8" s="9" t="inlineStr">
        <is>
          <t>FY27 Q1 release</t>
        </is>
      </c>
      <c r="B8" s="9" t="inlineStr">
        <is>
          <t>2026-09-10 (management-scheduled)</t>
        </is>
      </c>
      <c r="C8" s="20">
        <f>'Revenue Forecast'!C35+'Revenue Forecast'!D35+'Revenue Forecast'!E35+'Revenue Forecast'!F35</f>
        <v/>
      </c>
      <c r="D8" s="20">
        <f>'Margin &amp; EBITDA'!C15+'Margin &amp; EBITDA'!D15+'Margin &amp; EBITDA'!E15+'Margin &amp; EBITDA'!F15</f>
        <v/>
      </c>
      <c r="E8" s="31">
        <f>'Margin &amp; EBITDA'!C29+'Margin &amp; EBITDA'!D29+'Margin &amp; EBITDA'!E29+'Margin &amp; EBITDA'!F29</f>
        <v/>
      </c>
    </row>
    <row r="9">
      <c r="A9" s="9" t="inlineStr">
        <is>
          <t>FY27 Q2 release</t>
        </is>
      </c>
      <c r="B9" s="9" t="inlineStr">
        <is>
          <t>est. December 2026</t>
        </is>
      </c>
      <c r="C9" s="20">
        <f>'Revenue Forecast'!D35+'Revenue Forecast'!E35+'Revenue Forecast'!F35+'Revenue Forecast'!G35</f>
        <v/>
      </c>
      <c r="D9" s="20">
        <f>'Margin &amp; EBITDA'!D15+'Margin &amp; EBITDA'!E15+'Margin &amp; EBITDA'!F15+'Margin &amp; EBITDA'!G15</f>
        <v/>
      </c>
      <c r="E9" s="31">
        <f>'Margin &amp; EBITDA'!D29+'Margin &amp; EBITDA'!E29+'Margin &amp; EBITDA'!F29+'Margin &amp; EBITDA'!G29</f>
        <v/>
      </c>
    </row>
    <row r="10">
      <c r="A10" s="9" t="inlineStr">
        <is>
          <t>FY27 Q3 release</t>
        </is>
      </c>
      <c r="B10" s="9" t="inlineStr">
        <is>
          <t>est. March 2027</t>
        </is>
      </c>
      <c r="C10" s="20">
        <f>'Revenue Forecast'!E35+'Revenue Forecast'!F35+'Revenue Forecast'!G35+'Revenue Forecast'!H35</f>
        <v/>
      </c>
      <c r="D10" s="20">
        <f>'Margin &amp; EBITDA'!E15+'Margin &amp; EBITDA'!F15+'Margin &amp; EBITDA'!G15+'Margin &amp; EBITDA'!H15</f>
        <v/>
      </c>
      <c r="E10" s="31">
        <f>'Margin &amp; EBITDA'!E29+'Margin &amp; EBITDA'!F29+'Margin &amp; EBITDA'!G29+'Margin &amp; EBITDA'!H29</f>
        <v/>
      </c>
    </row>
    <row r="11">
      <c r="A11" s="9" t="inlineStr">
        <is>
          <t>FY27 Q4 release</t>
        </is>
      </c>
      <c r="B11" s="9" t="inlineStr">
        <is>
          <t>est. June 2027</t>
        </is>
      </c>
      <c r="C11" s="20">
        <f>'Revenue Forecast'!F35+'Revenue Forecast'!G35+'Revenue Forecast'!H35+'Revenue Forecast'!I35</f>
        <v/>
      </c>
      <c r="D11" s="20">
        <f>'Margin &amp; EBITDA'!F15+'Margin &amp; EBITDA'!G15+'Margin &amp; EBITDA'!H15+'Margin &amp; EBITDA'!I15</f>
        <v/>
      </c>
      <c r="E11" s="31">
        <f>'Margin &amp; EBITDA'!F29+'Margin &amp; EBITDA'!G29+'Margin &amp; EBITDA'!H29+'Margin &amp; EBITDA'!I29</f>
        <v/>
      </c>
    </row>
    <row r="14">
      <c r="A14" s="3" t="inlineStr">
        <is>
          <t>2. Enterprise-to-equity bridge components at each valuation date (balance as of the just-completed quarter)</t>
        </is>
      </c>
    </row>
    <row r="15">
      <c r="A15" s="23" t="inlineStr">
        <is>
          <t>Valuation date</t>
        </is>
      </c>
      <c r="B15" s="23" t="inlineStr">
        <is>
          <t>Gross debt</t>
        </is>
      </c>
      <c r="C15" s="23" t="inlineStr">
        <is>
          <t>Lease liab. (on-BS)</t>
        </is>
      </c>
      <c r="D15" s="23" t="inlineStr">
        <is>
          <t>Preferred</t>
        </is>
      </c>
      <c r="E15" s="23" t="inlineStr">
        <is>
          <t>Cash + mkt. sec.</t>
        </is>
      </c>
    </row>
    <row r="16">
      <c r="A16" s="9" t="inlineStr">
        <is>
          <t>FY27 Q1 release</t>
        </is>
      </c>
      <c r="B16" s="20">
        <f>'Debt, Leases &amp; Cash'!B7</f>
        <v/>
      </c>
      <c r="C16" s="20">
        <f>'Debt, Leases &amp; Cash'!B22</f>
        <v/>
      </c>
      <c r="D16" s="20">
        <f>'Debt, Leases &amp; Cash'!$B$25</f>
        <v/>
      </c>
      <c r="E16" s="20">
        <f>'Debt, Leases &amp; Cash'!B20+'Debt, Leases &amp; Cash'!$B$24</f>
        <v/>
      </c>
    </row>
    <row r="17">
      <c r="A17" s="9" t="inlineStr">
        <is>
          <t>FY27 Q2 release</t>
        </is>
      </c>
      <c r="B17" s="20">
        <f>'Debt, Leases &amp; Cash'!C7</f>
        <v/>
      </c>
      <c r="C17" s="20">
        <f>'Debt, Leases &amp; Cash'!C22</f>
        <v/>
      </c>
      <c r="D17" s="20">
        <f>'Debt, Leases &amp; Cash'!$B$25</f>
        <v/>
      </c>
      <c r="E17" s="20">
        <f>'Debt, Leases &amp; Cash'!C20+'Debt, Leases &amp; Cash'!$B$24</f>
        <v/>
      </c>
    </row>
    <row r="18">
      <c r="A18" s="9" t="inlineStr">
        <is>
          <t>FY27 Q3 release</t>
        </is>
      </c>
      <c r="B18" s="20">
        <f>'Debt, Leases &amp; Cash'!D7</f>
        <v/>
      </c>
      <c r="C18" s="20">
        <f>'Debt, Leases &amp; Cash'!D22</f>
        <v/>
      </c>
      <c r="D18" s="20">
        <f>'Debt, Leases &amp; Cash'!$B$25</f>
        <v/>
      </c>
      <c r="E18" s="20">
        <f>'Debt, Leases &amp; Cash'!D20+'Debt, Leases &amp; Cash'!$B$24</f>
        <v/>
      </c>
    </row>
    <row r="19">
      <c r="A19" s="9" t="inlineStr">
        <is>
          <t>FY27 Q4 release</t>
        </is>
      </c>
      <c r="B19" s="20">
        <f>'Debt, Leases &amp; Cash'!E7</f>
        <v/>
      </c>
      <c r="C19" s="20">
        <f>'Debt, Leases &amp; Cash'!E22</f>
        <v/>
      </c>
      <c r="D19" s="20">
        <f>'Debt, Leases &amp; Cash'!$B$25</f>
        <v/>
      </c>
      <c r="E19" s="20">
        <f>'Debt, Leases &amp; Cash'!E20+'Debt, Leases &amp; Cash'!$B$24</f>
        <v/>
      </c>
    </row>
    <row r="20" ht="30" customHeight="1">
      <c r="A20" s="7" t="inlineStr">
        <is>
          <t>Preferred treatment: debt-like (subtracted; preferred dividends stay in the income statement, not converted to common shares). Q-11 substantively resolved 2026-07-22 (D-028): Oracle's Series D preferred mandatorily converts ~2029-01-15 - after all four of this project's valuation dates - so debt-like treatment is structurally correct here, not a placeholder default. Lease liabilities included in EV bridge (Q-13 still unresolved - verify peer multiples use the same convention before relying on this bridge for a real number).</t>
        </is>
      </c>
    </row>
    <row r="22">
      <c r="A22" s="3" t="inlineStr">
        <is>
          <t>3. Multiple assignment — BLOCKED (Q-08/C-09)</t>
        </is>
      </c>
    </row>
    <row r="23">
      <c r="A23" s="23" t="inlineStr">
        <is>
          <t>Valuation date</t>
        </is>
      </c>
      <c r="B23" s="23" t="inlineStr">
        <is>
          <t>EV/NTM EBITDA (bear/base/bull)</t>
        </is>
      </c>
      <c r="C23" s="23" t="inlineStr">
        <is>
          <t>P/NTM EPS (bear/base/bull)</t>
        </is>
      </c>
    </row>
    <row r="24">
      <c r="A24" s="9" t="inlineStr">
        <is>
          <t>FY27 Q1 release</t>
        </is>
      </c>
      <c r="B24" s="32" t="n"/>
      <c r="C24" s="32" t="n"/>
    </row>
    <row r="25">
      <c r="A25" s="9" t="inlineStr">
        <is>
          <t>FY27 Q2 release</t>
        </is>
      </c>
      <c r="B25" s="32" t="n"/>
      <c r="C25" s="32" t="n"/>
    </row>
    <row r="26">
      <c r="A26" s="9" t="inlineStr">
        <is>
          <t>FY27 Q3 release</t>
        </is>
      </c>
      <c r="B26" s="32" t="n"/>
      <c r="C26" s="32" t="n"/>
    </row>
    <row r="27">
      <c r="A27" s="9" t="inlineStr">
        <is>
          <t>FY27 Q4 release</t>
        </is>
      </c>
      <c r="B27" s="32" t="n"/>
      <c r="C27" s="32" t="n"/>
    </row>
    <row r="28">
      <c r="A28" s="2" t="inlineStr">
        <is>
          <t>Fill in once Q-08 is resolved (FactSet authenticated, or user-supplied as-of-dated peer data) — do not fill from general knowledge.</t>
        </is>
      </c>
    </row>
    <row r="30">
      <c r="A30" s="3" t="inlineStr">
        <is>
          <t>3b. Market-implied cross-check multiple (rank-6, single-entity — not a peer comp)</t>
        </is>
      </c>
    </row>
    <row r="31" ht="75" customHeight="1">
      <c r="A31" s="7" t="inlineStr">
        <is>
          <t>Oracle's OWN current EV divided by its OWN current NTM EBITDA consensus, as computed by one research tool (Gemini, 2026-07-22, citing Barchart EV and a Street NTM EBITDA figure). This is a single-entity ratio, not exposed to the peer-to-peer methodology mismatch that makes the peer comp multiples (C-12) unusable right now - the two research tools' peer multiples for MSFT/AMZN/GOOGL/SAP/CRM/IBM disagree by 25-60% and are NOT used here. Still rank 6 (research-tool output, not independently fetched from a named terminal) - a real signal, not a sourced peer multiple, and does not resolve Q-08/C-09.</t>
        </is>
      </c>
    </row>
    <row r="32">
      <c r="A32" s="23" t="inlineStr">
        <is>
          <t>Metric</t>
        </is>
      </c>
      <c r="B32" s="23" t="inlineStr">
        <is>
          <t>Value</t>
        </is>
      </c>
      <c r="C32" s="23" t="inlineStr">
        <is>
          <t>Source</t>
        </is>
      </c>
      <c r="D32" s="23" t="inlineStr">
        <is>
          <t>As-of date</t>
        </is>
      </c>
    </row>
    <row r="33">
      <c r="A33" s="9" t="inlineStr">
        <is>
          <t>ORCL current enterprise value</t>
        </is>
      </c>
      <c r="B33" s="39" t="inlineStr">
        <is>
          <t>$445.6B (Gemini) / $468.6B (ChatGPT) - see C-12-adjacent note below</t>
        </is>
      </c>
      <c r="C33" s="40" t="inlineStr">
        <is>
          <t>Gemini: Barchart. ChatGPT: self-calc from market cap+debt+preferred-cash</t>
        </is>
      </c>
      <c r="D33" s="40" t="inlineStr">
        <is>
          <t>2026-07-22</t>
        </is>
      </c>
    </row>
    <row r="34">
      <c r="A34" s="9" t="inlineStr">
        <is>
          <t>ORCL current NTM EBITDA consensus (Gemini)</t>
        </is>
      </c>
      <c r="B34" s="39" t="inlineStr">
        <is>
          <t>$32.4B</t>
        </is>
      </c>
      <c r="C34" s="40" t="inlineStr">
        <is>
          <t>Gemini report, provider not fully specified per-row</t>
        </is>
      </c>
      <c r="D34" s="40" t="inlineStr">
        <is>
          <t>2026-07-22</t>
        </is>
      </c>
    </row>
    <row r="35">
      <c r="A35" s="9" t="inlineStr">
        <is>
          <t>ORCL current market-implied EV/NTM EBITDA</t>
        </is>
      </c>
      <c r="B35" s="39" t="inlineStr">
        <is>
          <t>13.76x</t>
        </is>
      </c>
      <c r="C35" s="40" t="inlineStr">
        <is>
          <t>Gemini report (self-calculated EV / NTM EBITDA)</t>
        </is>
      </c>
      <c r="D35" s="40" t="inlineStr">
        <is>
          <t>2026-07-22</t>
        </is>
      </c>
    </row>
    <row r="36" ht="45" customHeight="1">
      <c r="A36" s="7" t="inlineStr">
        <is>
          <t>Note: this 13.76x market-implied multiple sits almost exactly on the illustrative Base case's 13.0x used since Gate 9 (Framework Sec8's unadopted candidate) - a useful real-world sanity check that the illustrative Base assumption was not unreasonable, but it is today's multiple for today's NTM window, not necessarily the multiple the market will apply at any of the four future valuation dates below.</t>
        </is>
      </c>
    </row>
    <row r="40">
      <c r="A40" s="33" t="inlineStr">
        <is>
          <t>4. ILLUSTRATIVE ONLY — mechanism demo using the Framework's unadopted candidate multiples (NOT a real valuation)</t>
        </is>
      </c>
    </row>
    <row r="41">
      <c r="A41" s="23" t="inlineStr">
        <is>
          <t>Valuation date</t>
        </is>
      </c>
      <c r="B41" s="23" t="inlineStr">
        <is>
          <t>Illustrative EV (Base, $mm)</t>
        </is>
      </c>
      <c r="C41" s="23" t="inlineStr">
        <is>
          <t>Illustrative equity value (Base, $mm)</t>
        </is>
      </c>
      <c r="D41" s="23" t="inlineStr">
        <is>
          <t>Illustrative implied price (Base, $/sh)</t>
        </is>
      </c>
    </row>
    <row r="42">
      <c r="A42" s="9" t="inlineStr">
        <is>
          <t>FY27 Q1 release</t>
        </is>
      </c>
      <c r="B42" s="34">
        <f>D8*13.0</f>
        <v/>
      </c>
      <c r="C42" s="34">
        <f>B32-B16-C16-D16+E16</f>
        <v/>
      </c>
      <c r="D42" s="35">
        <f>C32/'Equity &amp; Shares'!B7</f>
        <v/>
      </c>
    </row>
    <row r="43">
      <c r="A43" s="9" t="inlineStr">
        <is>
          <t>FY27 Q2 release</t>
        </is>
      </c>
      <c r="B43" s="34">
        <f>D9*13.0</f>
        <v/>
      </c>
      <c r="C43" s="34">
        <f>B33-B17-C17-D17+E17</f>
        <v/>
      </c>
      <c r="D43" s="35">
        <f>C33/'Equity &amp; Shares'!C7</f>
        <v/>
      </c>
    </row>
    <row r="44">
      <c r="A44" s="9" t="inlineStr">
        <is>
          <t>FY27 Q3 release</t>
        </is>
      </c>
      <c r="B44" s="34">
        <f>D10*13.0</f>
        <v/>
      </c>
      <c r="C44" s="34">
        <f>B34-B18-C18-D18+E18</f>
        <v/>
      </c>
      <c r="D44" s="35">
        <f>C34/'Equity &amp; Shares'!D7</f>
        <v/>
      </c>
    </row>
    <row r="45">
      <c r="A45" s="9" t="inlineStr">
        <is>
          <t>FY27 Q4 release</t>
        </is>
      </c>
      <c r="B45" s="34">
        <f>D11*13.0</f>
        <v/>
      </c>
      <c r="C45" s="34">
        <f>B35-B19-C19-D19+E19</f>
        <v/>
      </c>
      <c r="D45" s="35">
        <f>C35/'Equity &amp; Shares'!E7</f>
        <v/>
      </c>
    </row>
    <row r="46">
      <c r="A46" s="2" t="inlineStr">
        <is>
          <t>Illustrative only: uses Framework Sec8's unadopted 12x-14x base EV/NTM EBITDA range (midpoint 13.0x), never sourced from live peer data. Do not quote as a price target.</t>
        </is>
      </c>
    </row>
  </sheetData>
  <mergeCells count="6">
    <mergeCell ref="A28:C28"/>
    <mergeCell ref="A20:E20"/>
    <mergeCell ref="A2:G2"/>
    <mergeCell ref="A36:E36"/>
    <mergeCell ref="A31:E31"/>
    <mergeCell ref="A36:D3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52"/>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16" customWidth="1" min="2" max="2"/>
    <col width="16" customWidth="1" min="3" max="3"/>
    <col width="16" customWidth="1" min="4" max="4"/>
    <col width="60" customWidth="1" min="5" max="5"/>
  </cols>
  <sheetData>
    <row r="1">
      <c r="A1" s="1" t="inlineStr">
        <is>
          <t>Sensitivities — Illustrative Bear/Base/Bull Price Range (FY27 Q1 Valuation Date)</t>
        </is>
      </c>
    </row>
    <row r="2" ht="90" customHeight="1">
      <c r="A2" s="7" t="inlineStr">
        <is>
          <t>ILLUSTRATIVE ONLY, same basis as the Valuation tab: uses the Framework's own unadopted candidate multiple ranges (Sec8), never a sourced multiple (Q-08/C-09 still block that). Bear/Bull NTM revenue and D&amp;A are computed here directly from the Scenario Assumptions Bear/Bull columns (not routed through the single Control-Panel switch, which only drives one case at a time) — same seasonality shares and same held-flat GAAP operating margin/tax rate/amortization as the Base case (those lines have no ratified scenario range, so they don't differ across Bear/Base/Bull here — a simplification carried over from Gate 12/13, not a new one). Debt/cash/shares bridge components use each scenario's own D-020 ending range, interpolated to the same quarter as the Base case's bridge on the Valuation tab.</t>
        </is>
      </c>
    </row>
    <row r="4">
      <c r="A4" s="3" t="inlineStr">
        <is>
          <t>1. NTM revenue by stream (FY27 Q2 - FY28 Q1 window), Bear vs. Bull</t>
        </is>
      </c>
    </row>
    <row r="5">
      <c r="A5" s="23" t="inlineStr">
        <is>
          <t>Stream</t>
        </is>
      </c>
      <c r="B5" s="23" t="inlineStr">
        <is>
          <t>Bear ($mm)</t>
        </is>
      </c>
      <c r="C5" s="23" t="inlineStr">
        <is>
          <t>Bull ($mm)</t>
        </is>
      </c>
    </row>
    <row r="6">
      <c r="A6" s="9" t="inlineStr">
        <is>
          <t>OCI</t>
        </is>
      </c>
      <c r="B6" s="11">
        <f>('Historical Actuals'!$L$5*(1+AVERAGE('Scenario Assumptions'!C5:D5)))*(SUM('Revenue Forecast'!C21:E21))+(('Historical Actuals'!$L$5*(1+AVERAGE('Scenario Assumptions'!C5:D5)))*(1+AVERAGE('Scenario Assumptions'!C6:D6)))*'Revenue Forecast'!F21</f>
        <v/>
      </c>
      <c r="C6" s="11">
        <f>('Historical Actuals'!$L$5*(1+AVERAGE('Scenario Assumptions'!G5:H5)))*(SUM('Revenue Forecast'!C21:E21))+(('Historical Actuals'!$L$5*(1+AVERAGE('Scenario Assumptions'!G5:H5)))*(1+AVERAGE('Scenario Assumptions'!G6:H6)))*'Revenue Forecast'!F21</f>
        <v/>
      </c>
    </row>
    <row r="7">
      <c r="A7" s="9" t="inlineStr">
        <is>
          <t>Cloud applications</t>
        </is>
      </c>
      <c r="B7" s="11">
        <f>('Historical Actuals'!$L$6*(1+AVERAGE('Scenario Assumptions'!C7:D7)))*(SUM('Revenue Forecast'!C22:E22))+(('Historical Actuals'!$L$6*(1+AVERAGE('Scenario Assumptions'!C7:D7)))*(1+AVERAGE('Scenario Assumptions'!C8:D8)))*'Revenue Forecast'!F22</f>
        <v/>
      </c>
      <c r="C7" s="11">
        <f>('Historical Actuals'!$L$6*(1+AVERAGE('Scenario Assumptions'!G7:H7)))*(SUM('Revenue Forecast'!C22:E22))+(('Historical Actuals'!$L$6*(1+AVERAGE('Scenario Assumptions'!G7:H7)))*(1+AVERAGE('Scenario Assumptions'!G8:H8)))*'Revenue Forecast'!F22</f>
        <v/>
      </c>
    </row>
    <row r="8">
      <c r="A8" s="9" t="inlineStr">
        <is>
          <t>Software support</t>
        </is>
      </c>
      <c r="B8" s="11">
        <f>('Historical Actuals'!$L$7*(1+'Revenue Forecast'!$B$11))*(SUM('Revenue Forecast'!C23:E23))+(('Historical Actuals'!$L$7*(1+'Revenue Forecast'!$B$11))*(1+'Revenue Forecast'!$B$12))*'Revenue Forecast'!F23</f>
        <v/>
      </c>
      <c r="C8" s="11">
        <f>('Historical Actuals'!$L$7*(1+'Revenue Forecast'!$B$11))*(SUM('Revenue Forecast'!C23:E23))+(('Historical Actuals'!$L$7*(1+'Revenue Forecast'!$B$11))*(1+'Revenue Forecast'!$B$12))*'Revenue Forecast'!F23</f>
        <v/>
      </c>
    </row>
    <row r="9">
      <c r="A9" s="9" t="inlineStr">
        <is>
          <t>Software license</t>
        </is>
      </c>
      <c r="B9" s="11">
        <f>('Historical Actuals'!$L$8*(1+'Revenue Forecast'!$B$13))*(SUM('Revenue Forecast'!C24:E24))+(('Historical Actuals'!$L$8*(1+'Revenue Forecast'!$B$13))*(1+'Revenue Forecast'!$B$14))*'Revenue Forecast'!F24</f>
        <v/>
      </c>
      <c r="C9" s="11">
        <f>('Historical Actuals'!$L$8*(1+'Revenue Forecast'!$B$13))*(SUM('Revenue Forecast'!C24:E24))+(('Historical Actuals'!$L$8*(1+'Revenue Forecast'!$B$13))*(1+'Revenue Forecast'!$B$14))*'Revenue Forecast'!F24</f>
        <v/>
      </c>
    </row>
    <row r="10">
      <c r="A10" s="9" t="inlineStr">
        <is>
          <t>Hardware</t>
        </is>
      </c>
      <c r="B10" s="11">
        <f>('Historical Actuals'!$L$9*(1+'Revenue Forecast'!$B$15))*(SUM('Revenue Forecast'!C25:E25))+(('Historical Actuals'!$L$9*(1+'Revenue Forecast'!$B$15))*(1+'Revenue Forecast'!$B$16))*'Revenue Forecast'!F25</f>
        <v/>
      </c>
      <c r="C10" s="11">
        <f>('Historical Actuals'!$L$9*(1+'Revenue Forecast'!$B$15))*(SUM('Revenue Forecast'!C25:E25))+(('Historical Actuals'!$L$9*(1+'Revenue Forecast'!$B$15))*(1+'Revenue Forecast'!$B$16))*'Revenue Forecast'!F25</f>
        <v/>
      </c>
    </row>
    <row r="11">
      <c r="A11" s="9" t="inlineStr">
        <is>
          <t>Services</t>
        </is>
      </c>
      <c r="B11" s="11">
        <f>('Historical Actuals'!$L$10*(1+'Revenue Forecast'!$B$17))*(SUM('Revenue Forecast'!C26:E26))+(('Historical Actuals'!$L$10*(1+'Revenue Forecast'!$B$17))*(1+'Revenue Forecast'!$B$18))*'Revenue Forecast'!F26</f>
        <v/>
      </c>
      <c r="C11" s="11">
        <f>('Historical Actuals'!$L$10*(1+'Revenue Forecast'!$B$17))*(SUM('Revenue Forecast'!C26:E26))+(('Historical Actuals'!$L$10*(1+'Revenue Forecast'!$B$17))*(1+'Revenue Forecast'!$B$18))*'Revenue Forecast'!F26</f>
        <v/>
      </c>
    </row>
    <row r="12">
      <c r="A12" s="4" t="inlineStr">
        <is>
          <t>Total NTM revenue</t>
        </is>
      </c>
      <c r="B12" s="12">
        <f>SUM(B6:B11)</f>
        <v/>
      </c>
      <c r="C12" s="12">
        <f>SUM(C6:C11)</f>
        <v/>
      </c>
      <c r="D12" s="20">
        <f>'Valuation (Gate 13)'!C8</f>
        <v/>
      </c>
    </row>
    <row r="14">
      <c r="A14" s="3" t="inlineStr">
        <is>
          <t>2. NTM D&amp;A and EBITDA, Bear vs. Bull (Base linked from Valuation tab)</t>
        </is>
      </c>
    </row>
    <row r="15">
      <c r="A15" s="23" t="inlineStr">
        <is>
          <t>Field</t>
        </is>
      </c>
      <c r="B15" s="23" t="inlineStr">
        <is>
          <t>Bear ($mm)</t>
        </is>
      </c>
      <c r="C15" s="23" t="inlineStr">
        <is>
          <t>Bull ($mm)</t>
        </is>
      </c>
      <c r="D15" s="23" t="inlineStr">
        <is>
          <t>Base (link)</t>
        </is>
      </c>
    </row>
    <row r="16">
      <c r="A16" s="9" t="inlineStr">
        <is>
          <t>NTM depreciation (PP&amp;E)</t>
        </is>
      </c>
      <c r="B16" s="11">
        <f>AVERAGE('Scenario Assumptions'!C18:D18)*1000*(SUM('Capex &amp; Depreciation'!C9:E9))+AVERAGE('Scenario Assumptions'!C19:D19)*1000*'Capex &amp; Depreciation'!F9</f>
        <v/>
      </c>
      <c r="C16" s="11">
        <f>AVERAGE('Scenario Assumptions'!G18:H18)*1000*(SUM('Capex &amp; Depreciation'!C9:E9))+AVERAGE('Scenario Assumptions'!G19:H19)*1000*'Capex &amp; Depreciation'!F9</f>
        <v/>
      </c>
    </row>
    <row r="17">
      <c r="A17" s="9" t="inlineStr">
        <is>
          <t>NTM amortization of intangibles (flat, not scenario-differentiated — no ratified range)</t>
        </is>
      </c>
      <c r="B17" s="20">
        <f>SUM('Capex &amp; Depreciation'!C13:F13)</f>
        <v/>
      </c>
      <c r="C17" s="20">
        <f>SUM('Capex &amp; Depreciation'!C13:F13)</f>
        <v/>
      </c>
    </row>
    <row r="18">
      <c r="A18" s="4" t="inlineStr">
        <is>
          <t>NTM D&amp;A total</t>
        </is>
      </c>
      <c r="B18" s="12">
        <f>B16+B17</f>
        <v/>
      </c>
      <c r="C18" s="12">
        <f>C16+C17</f>
        <v/>
      </c>
    </row>
    <row r="19">
      <c r="A19" s="9" t="inlineStr">
        <is>
          <t>NTM GAAP operating income (=NTM revenue x flat GAAP op. margin 30.33% — same limitation as Base, no ratified range differentiates this by scenario)</t>
        </is>
      </c>
      <c r="B19" s="11">
        <f>B12*0.3033</f>
        <v/>
      </c>
      <c r="C19" s="11">
        <f>C12*0.3033</f>
        <v/>
      </c>
    </row>
    <row r="20">
      <c r="A20" s="4" t="inlineStr">
        <is>
          <t>NTM EBITDA (=GAAP operating income + D&amp;A, per D-014)</t>
        </is>
      </c>
      <c r="B20" s="12">
        <f>B19+B18</f>
        <v/>
      </c>
      <c r="C20" s="12">
        <f>C19+C18</f>
        <v/>
      </c>
      <c r="D20" s="20">
        <f>'Valuation (Gate 13)'!D8</f>
        <v/>
      </c>
    </row>
    <row r="22">
      <c r="A22" s="3" t="inlineStr">
        <is>
          <t>3. Bridge components at FY27 Q1 (end): Bear / Base / Bull</t>
        </is>
      </c>
    </row>
    <row r="23">
      <c r="A23" s="23" t="inlineStr">
        <is>
          <t>Field</t>
        </is>
      </c>
      <c r="B23" s="23" t="inlineStr">
        <is>
          <t>Bear ($mm)</t>
        </is>
      </c>
      <c r="C23" s="23" t="inlineStr">
        <is>
          <t>Base ($mm, link)</t>
        </is>
      </c>
      <c r="D23" s="23" t="inlineStr">
        <is>
          <t>Bull ($mm)</t>
        </is>
      </c>
    </row>
    <row r="24">
      <c r="A24" s="9" t="inlineStr">
        <is>
          <t>Gross debt (interpolated, beginning to scenario's own FY27-end)</t>
        </is>
      </c>
      <c r="B24" s="11">
        <f>'Debt, Leases &amp; Cash'!$B$5+(AVERAGE('Scenario Assumptions'!C22:D22)*1000-'Debt, Leases &amp; Cash'!$B$5)*1/4</f>
        <v/>
      </c>
      <c r="C24" s="20">
        <f>'Debt, Leases &amp; Cash'!B7</f>
        <v/>
      </c>
      <c r="D24" s="11">
        <f>'Debt, Leases &amp; Cash'!$B$5+(AVERAGE('Scenario Assumptions'!G22:H22)*1000-'Debt, Leases &amp; Cash'!$B$5)*1/4</f>
        <v/>
      </c>
    </row>
    <row r="25">
      <c r="A25" s="9" t="inlineStr">
        <is>
          <t>On-balance lease liabilities (not scenario-differentiated — fixed disclosed commencement schedule, C-06)</t>
        </is>
      </c>
      <c r="B25" s="20">
        <f>'Debt, Leases &amp; Cash'!B22</f>
        <v/>
      </c>
      <c r="C25" s="20">
        <f>'Debt, Leases &amp; Cash'!B22</f>
        <v/>
      </c>
      <c r="D25" s="20">
        <f>'Debt, Leases &amp; Cash'!B22</f>
        <v/>
      </c>
    </row>
    <row r="26">
      <c r="A26" s="9" t="inlineStr">
        <is>
          <t>Preferred (held flat, Q-11 debt-like default — not scenario-differentiated)</t>
        </is>
      </c>
      <c r="B26" s="20">
        <f>'Debt, Leases &amp; Cash'!$B$25</f>
        <v/>
      </c>
      <c r="C26" s="20">
        <f>'Debt, Leases &amp; Cash'!$B$25</f>
        <v/>
      </c>
      <c r="D26" s="20">
        <f>'Debt, Leases &amp; Cash'!$B$25</f>
        <v/>
      </c>
    </row>
    <row r="27">
      <c r="A27" s="9" t="inlineStr">
        <is>
          <t>Cash + marketable securities (interpolated, beginning to scenario's own FY27-end)</t>
        </is>
      </c>
      <c r="B27" s="11">
        <f>'Debt, Leases &amp; Cash'!$B$18+(AVERAGE('Scenario Assumptions'!C24:D24)*1000-'Debt, Leases &amp; Cash'!$B$18)*1/4+'Debt, Leases &amp; Cash'!$B$24</f>
        <v/>
      </c>
      <c r="C27" s="20">
        <f>'Debt, Leases &amp; Cash'!B20+'Debt, Leases &amp; Cash'!$B$24</f>
        <v/>
      </c>
      <c r="D27" s="11">
        <f>'Debt, Leases &amp; Cash'!$B$18+(AVERAGE('Scenario Assumptions'!G24:H24)*1000-'Debt, Leases &amp; Cash'!$B$18)*1/4+'Debt, Leases &amp; Cash'!$B$24</f>
        <v/>
      </c>
    </row>
    <row r="28">
      <c r="A28" s="9" t="inlineStr">
        <is>
          <t>Diluted shares, mm (interpolated, beginning to scenario's own FY27-end)</t>
        </is>
      </c>
      <c r="B28" s="26">
        <f>'Equity &amp; Shares'!$B$5+(AVERAGE('Scenario Assumptions'!C26:D26)*1000-'Equity &amp; Shares'!$B$5)*1/4</f>
        <v/>
      </c>
      <c r="C28" s="25">
        <f>'Equity &amp; Shares'!B7</f>
        <v/>
      </c>
      <c r="D28" s="26">
        <f>'Equity &amp; Shares'!$B$5+(AVERAGE('Scenario Assumptions'!G26:H26)*1000-'Equity &amp; Shares'!$B$5)*1/4</f>
        <v/>
      </c>
    </row>
    <row r="30">
      <c r="A30" s="33" t="inlineStr">
        <is>
          <t>4. ILLUSTRATIVE bear/base/bull implied price (FY27 Q1 valuation date) — NOT a real price target</t>
        </is>
      </c>
    </row>
    <row r="31">
      <c r="A31" s="23" t="inlineStr"/>
      <c r="B31" s="23" t="inlineStr">
        <is>
          <t>Bear</t>
        </is>
      </c>
      <c r="C31" s="23" t="inlineStr">
        <is>
          <t>Base</t>
        </is>
      </c>
      <c r="D31" s="23" t="inlineStr">
        <is>
          <t>Bull</t>
        </is>
      </c>
    </row>
    <row r="32">
      <c r="A32" s="2" t="inlineStr">
        <is>
          <t>Illustrative EV/NTM EBITDA multiple (Framework Sec8 unadopted candidate midpoint)</t>
        </is>
      </c>
      <c r="B32" s="36" t="n">
        <v>10</v>
      </c>
      <c r="C32" s="36" t="n">
        <v>13</v>
      </c>
      <c r="D32" s="36" t="n">
        <v>16</v>
      </c>
    </row>
    <row r="33">
      <c r="A33" s="9" t="inlineStr">
        <is>
          <t>NTM EBITDA feeding this multiple ($mm)</t>
        </is>
      </c>
      <c r="B33" s="11">
        <f>B20</f>
        <v/>
      </c>
      <c r="C33" s="20">
        <f>'Valuation (Gate 13)'!D8</f>
        <v/>
      </c>
      <c r="D33" s="11">
        <f>C20</f>
        <v/>
      </c>
    </row>
    <row r="34">
      <c r="A34" s="9" t="inlineStr">
        <is>
          <t>Illustrative EV ($mm)</t>
        </is>
      </c>
      <c r="B34" s="11">
        <f>B33*B32</f>
        <v/>
      </c>
      <c r="C34" s="11">
        <f>C33*C32</f>
        <v/>
      </c>
      <c r="D34" s="11">
        <f>D33*D32</f>
        <v/>
      </c>
    </row>
    <row r="35">
      <c r="A35" s="9" t="inlineStr">
        <is>
          <t>Illustrative equity value ($mm)</t>
        </is>
      </c>
      <c r="B35" s="11">
        <f>B34-B24-B25-B26+B27</f>
        <v/>
      </c>
      <c r="C35" s="11">
        <f>C34-C24-C25-C26+C27</f>
        <v/>
      </c>
      <c r="D35" s="11">
        <f>D34-D24-D25-D26+D27</f>
        <v/>
      </c>
    </row>
    <row r="36">
      <c r="A36" s="33" t="inlineStr">
        <is>
          <t>Illustrative implied price ($/sh)</t>
        </is>
      </c>
      <c r="B36" s="37">
        <f>B35/B28</f>
        <v/>
      </c>
      <c r="C36" s="37">
        <f>C35/C28</f>
        <v/>
      </c>
      <c r="D36" s="37">
        <f>D35/D28</f>
        <v/>
      </c>
    </row>
    <row r="38" ht="75" customHeight="1">
      <c r="A38" s="7" t="inlineStr">
        <is>
          <t>Note: this is a closed-form, single-valuation-date (FY27 Q1) approximation, not a full quarterly Bear/Bull rebuild — it reuses the Base case's held-flat GAAP operating margin, effective tax rate, and seasonality shares for all three scenarios (those lines have no ratified scenario range regardless), and differentiates Bear/Base/Bull only through the D-020 ranges that actually vary by scenario (OCI/applications growth, depreciation, ending debt/cash/shares). Cross-check: the Base column should tie closely to the Valuation tab's own illustrative price at this same date ($165.57 under the Base 13.0x case) — small differences reflect this tab computing Bear/Bull's own bridge quarter-end via interpolation rather than a full quarterly rebuild.</t>
        </is>
      </c>
    </row>
    <row r="41">
      <c r="A41" s="3" t="inlineStr">
        <is>
          <t>5. One-way sensitivity: illustrative Base-case price vs. EV/NTM EBITDA multiple</t>
        </is>
      </c>
    </row>
    <row r="42">
      <c r="A42" s="2" t="inlineStr">
        <is>
          <t>Holds Base-case NTM EBITDA and bridge components fixed; varies only the multiple. Same illustrative-only caveat as everywhere else on this tab.</t>
        </is>
      </c>
    </row>
    <row r="43">
      <c r="A43" s="23" t="inlineStr">
        <is>
          <t>Multiple</t>
        </is>
      </c>
      <c r="B43" s="23" t="inlineStr">
        <is>
          <t>Implied EV ($mm)</t>
        </is>
      </c>
      <c r="C43" s="23" t="inlineStr">
        <is>
          <t>Implied equity value ($mm)</t>
        </is>
      </c>
      <c r="D43" s="23" t="inlineStr">
        <is>
          <t>Implied price ($/sh)</t>
        </is>
      </c>
    </row>
    <row r="44">
      <c r="A44" s="38" t="n">
        <v>9</v>
      </c>
      <c r="B44" s="11">
        <f>A44*C$33</f>
        <v/>
      </c>
      <c r="C44" s="11">
        <f>B44-C$24-C$25-C$26+C$27</f>
        <v/>
      </c>
      <c r="D44" s="29">
        <f>C44/C$28</f>
        <v/>
      </c>
    </row>
    <row r="45">
      <c r="A45" s="38" t="n">
        <v>10</v>
      </c>
      <c r="B45" s="11">
        <f>A45*C$33</f>
        <v/>
      </c>
      <c r="C45" s="11">
        <f>B45-C$24-C$25-C$26+C$27</f>
        <v/>
      </c>
      <c r="D45" s="29">
        <f>C45/C$28</f>
        <v/>
      </c>
    </row>
    <row r="46">
      <c r="A46" s="38" t="n">
        <v>11</v>
      </c>
      <c r="B46" s="11">
        <f>A46*C$33</f>
        <v/>
      </c>
      <c r="C46" s="11">
        <f>B46-C$24-C$25-C$26+C$27</f>
        <v/>
      </c>
      <c r="D46" s="29">
        <f>C46/C$28</f>
        <v/>
      </c>
    </row>
    <row r="47">
      <c r="A47" s="38" t="n">
        <v>12</v>
      </c>
      <c r="B47" s="11">
        <f>A47*C$33</f>
        <v/>
      </c>
      <c r="C47" s="11">
        <f>B47-C$24-C$25-C$26+C$27</f>
        <v/>
      </c>
      <c r="D47" s="29">
        <f>C47/C$28</f>
        <v/>
      </c>
    </row>
    <row r="48">
      <c r="A48" s="38" t="n">
        <v>13</v>
      </c>
      <c r="B48" s="11">
        <f>A48*C$33</f>
        <v/>
      </c>
      <c r="C48" s="11">
        <f>B48-C$24-C$25-C$26+C$27</f>
        <v/>
      </c>
      <c r="D48" s="29">
        <f>C48/C$28</f>
        <v/>
      </c>
    </row>
    <row r="49">
      <c r="A49" s="38" t="n">
        <v>14</v>
      </c>
      <c r="B49" s="11">
        <f>A49*C$33</f>
        <v/>
      </c>
      <c r="C49" s="11">
        <f>B49-C$24-C$25-C$26+C$27</f>
        <v/>
      </c>
      <c r="D49" s="29">
        <f>C49/C$28</f>
        <v/>
      </c>
    </row>
    <row r="50">
      <c r="A50" s="38" t="n">
        <v>15</v>
      </c>
      <c r="B50" s="11">
        <f>A50*C$33</f>
        <v/>
      </c>
      <c r="C50" s="11">
        <f>B50-C$24-C$25-C$26+C$27</f>
        <v/>
      </c>
      <c r="D50" s="29">
        <f>C50/C$28</f>
        <v/>
      </c>
    </row>
    <row r="51">
      <c r="A51" s="38" t="n">
        <v>16</v>
      </c>
      <c r="B51" s="11">
        <f>A51*C$33</f>
        <v/>
      </c>
      <c r="C51" s="11">
        <f>B51-C$24-C$25-C$26+C$27</f>
        <v/>
      </c>
      <c r="D51" s="29">
        <f>C51/C$28</f>
        <v/>
      </c>
    </row>
    <row r="52">
      <c r="A52" s="38" t="n">
        <v>17</v>
      </c>
      <c r="B52" s="11">
        <f>A52*C$33</f>
        <v/>
      </c>
      <c r="C52" s="11">
        <f>B52-C$24-C$25-C$26+C$27</f>
        <v/>
      </c>
      <c r="D52" s="29">
        <f>C52/C$28</f>
        <v/>
      </c>
    </row>
  </sheetData>
  <mergeCells count="3">
    <mergeCell ref="A42:D42"/>
    <mergeCell ref="A38:D38"/>
    <mergeCell ref="A2:D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4"/>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4" customWidth="1" min="10" max="10"/>
    <col width="14" customWidth="1" min="11" max="11"/>
    <col width="14" customWidth="1" min="12" max="12"/>
    <col width="40" customWidth="1" min="13" max="13"/>
  </cols>
  <sheetData>
    <row r="1">
      <c r="A1" s="1" t="inlineStr">
        <is>
          <t>Checks — Gate 10 minimal build</t>
        </is>
      </c>
    </row>
    <row r="2" ht="30" customHeight="1">
      <c r="A2" s="7" t="inlineStr">
        <is>
          <t>Green = tie, zero variance. Red = investigate. Historical checks re-verify Gate 6's own reconciliation (belt-and-suspenders inside the model itself); forecast checks confirm the build mechanics hold together, not that the forecast is 'correct' (there is no ground truth for a forecast — only internal consistency).</t>
        </is>
      </c>
    </row>
    <row r="4">
      <c r="A4" s="3" t="inlineStr">
        <is>
          <t>CHECK_020 — Historical: six-stream sum = Total revenue (REV_370)</t>
        </is>
      </c>
    </row>
    <row r="5">
      <c r="A5" s="8" t="inlineStr">
        <is>
          <t>Period</t>
        </is>
      </c>
      <c r="B5" s="8" t="inlineStr">
        <is>
          <t>FY25_Q1</t>
        </is>
      </c>
      <c r="C5" s="8" t="inlineStr">
        <is>
          <t>FY25_Q2</t>
        </is>
      </c>
      <c r="D5" s="8" t="inlineStr">
        <is>
          <t>FY25_Q3</t>
        </is>
      </c>
      <c r="E5" s="8" t="inlineStr">
        <is>
          <t>FY25_Q4</t>
        </is>
      </c>
      <c r="F5" s="8" t="inlineStr">
        <is>
          <t>FY26_Q1</t>
        </is>
      </c>
      <c r="G5" s="8" t="inlineStr">
        <is>
          <t>FY26_Q2</t>
        </is>
      </c>
      <c r="H5" s="8" t="inlineStr">
        <is>
          <t>FY26_Q3</t>
        </is>
      </c>
      <c r="I5" s="8" t="inlineStr">
        <is>
          <t>FY26_Q4</t>
        </is>
      </c>
    </row>
    <row r="6">
      <c r="A6" s="9" t="inlineStr">
        <is>
          <t>Variance ($mm), should be exactly 0</t>
        </is>
      </c>
      <c r="B6" s="11">
        <f>'Historical Actuals'!B11-SUM('Historical Actuals'!B5:B10)</f>
        <v/>
      </c>
      <c r="C6" s="11">
        <f>'Historical Actuals'!C11-SUM('Historical Actuals'!C5:C10)</f>
        <v/>
      </c>
      <c r="D6" s="11">
        <f>'Historical Actuals'!D11-SUM('Historical Actuals'!D5:D10)</f>
        <v/>
      </c>
      <c r="E6" s="11">
        <f>'Historical Actuals'!E11-SUM('Historical Actuals'!E5:E10)</f>
        <v/>
      </c>
      <c r="F6" s="11">
        <f>'Historical Actuals'!F11-SUM('Historical Actuals'!F5:F10)</f>
        <v/>
      </c>
      <c r="G6" s="11">
        <f>'Historical Actuals'!G11-SUM('Historical Actuals'!G5:G10)</f>
        <v/>
      </c>
      <c r="H6" s="11">
        <f>'Historical Actuals'!H11-SUM('Historical Actuals'!H5:H10)</f>
        <v/>
      </c>
      <c r="I6" s="11">
        <f>'Historical Actuals'!I11-SUM('Historical Actuals'!I5:I10)</f>
        <v/>
      </c>
    </row>
    <row r="9">
      <c r="A9" s="3" t="inlineStr">
        <is>
          <t>CHECK_050 — Historical: sum of quarters = fiscal year (REV_370)</t>
        </is>
      </c>
    </row>
    <row r="10">
      <c r="A10" s="8" t="inlineStr"/>
      <c r="B10" s="8" t="inlineStr">
        <is>
          <t>FY2025</t>
        </is>
      </c>
      <c r="C10" s="8" t="inlineStr">
        <is>
          <t>FY2026</t>
        </is>
      </c>
    </row>
    <row r="11">
      <c r="A11" s="9" t="inlineStr">
        <is>
          <t>Variance ($mm), should be exactly 0</t>
        </is>
      </c>
      <c r="B11" s="11">
        <f>'Historical Actuals'!K11-SUM('Historical Actuals'!B11:E11)</f>
        <v/>
      </c>
      <c r="C11" s="11">
        <f>'Historical Actuals'!L11-SUM('Historical Actuals'!F11:I11)</f>
        <v/>
      </c>
    </row>
    <row r="14">
      <c r="A14" s="3" t="inlineStr">
        <is>
          <t>Forecast: six-stream sum = Total revenue (Revenue Forecast tab)</t>
        </is>
      </c>
    </row>
    <row r="15">
      <c r="A15" s="8" t="inlineStr">
        <is>
          <t>Period</t>
        </is>
      </c>
      <c r="B15" s="8" t="inlineStr">
        <is>
          <t>FY27_Q1</t>
        </is>
      </c>
      <c r="C15" s="8" t="inlineStr">
        <is>
          <t>FY27_Q2</t>
        </is>
      </c>
      <c r="D15" s="8" t="inlineStr">
        <is>
          <t>FY27_Q3</t>
        </is>
      </c>
      <c r="E15" s="8" t="inlineStr">
        <is>
          <t>FY27_Q4</t>
        </is>
      </c>
      <c r="F15" s="8" t="inlineStr">
        <is>
          <t>FY28_Q1</t>
        </is>
      </c>
      <c r="G15" s="8" t="inlineStr">
        <is>
          <t>FY28_Q2</t>
        </is>
      </c>
      <c r="H15" s="8" t="inlineStr">
        <is>
          <t>FY28_Q3</t>
        </is>
      </c>
      <c r="I15" s="8" t="inlineStr">
        <is>
          <t>FY28_Q4</t>
        </is>
      </c>
    </row>
    <row r="16">
      <c r="A16" s="9" t="inlineStr">
        <is>
          <t>Variance ($mm), should be exactly 0 (true by construction - SUM formula)</t>
        </is>
      </c>
      <c r="B16" s="11">
        <f>'Revenue Forecast'!B35-SUM('Revenue Forecast'!B29:B34)</f>
        <v/>
      </c>
      <c r="C16" s="11">
        <f>'Revenue Forecast'!C35-SUM('Revenue Forecast'!C29:C34)</f>
        <v/>
      </c>
      <c r="D16" s="11">
        <f>'Revenue Forecast'!D35-SUM('Revenue Forecast'!D29:D34)</f>
        <v/>
      </c>
      <c r="E16" s="11">
        <f>'Revenue Forecast'!E35-SUM('Revenue Forecast'!E29:E34)</f>
        <v/>
      </c>
      <c r="F16" s="11">
        <f>'Revenue Forecast'!F35-SUM('Revenue Forecast'!F29:F34)</f>
        <v/>
      </c>
      <c r="G16" s="11">
        <f>'Revenue Forecast'!G35-SUM('Revenue Forecast'!G29:G34)</f>
        <v/>
      </c>
      <c r="H16" s="11">
        <f>'Revenue Forecast'!H35-SUM('Revenue Forecast'!H29:H34)</f>
        <v/>
      </c>
      <c r="I16" s="11">
        <f>'Revenue Forecast'!I35-SUM('Revenue Forecast'!I29:I34)</f>
        <v/>
      </c>
    </row>
    <row r="19">
      <c r="A19" s="3" t="inlineStr">
        <is>
          <t>Forecast: sum of quarters = fiscal year (Revenue Forecast tab)</t>
        </is>
      </c>
    </row>
    <row r="20">
      <c r="A20" s="8" t="inlineStr"/>
      <c r="B20" s="8" t="inlineStr">
        <is>
          <t>FY2027</t>
        </is>
      </c>
      <c r="C20" s="8" t="inlineStr">
        <is>
          <t>FY2028</t>
        </is>
      </c>
    </row>
    <row r="21">
      <c r="A21" s="9" t="inlineStr">
        <is>
          <t>Variance ($mm), should be exactly 0 (true by construction)</t>
        </is>
      </c>
      <c r="B21" s="11">
        <f>'Revenue Forecast'!K35-SUM('Revenue Forecast'!B35:E35)</f>
        <v/>
      </c>
      <c r="C21" s="11">
        <f>'Revenue Forecast'!L35-SUM('Revenue Forecast'!F35:I35)</f>
        <v/>
      </c>
    </row>
    <row r="24">
      <c r="A24" s="3" t="inlineStr">
        <is>
          <t>Scenario-switch integrity: Selected scenario matches Control Panel</t>
        </is>
      </c>
    </row>
    <row r="25">
      <c r="A25" s="8" t="inlineStr">
        <is>
          <t>Driver</t>
        </is>
      </c>
      <c r="B25" s="8" t="inlineStr">
        <is>
          <t>Selected value</t>
        </is>
      </c>
      <c r="C25" s="8" t="inlineStr">
        <is>
          <t>Expected range check</t>
        </is>
      </c>
    </row>
    <row r="26">
      <c r="A26" s="9" t="inlineStr">
        <is>
          <t>OCI growth % FY27</t>
        </is>
      </c>
      <c r="B26" s="18">
        <f>'Scenario Assumptions'!I5</f>
        <v/>
      </c>
      <c r="C26" s="9">
        <f>IF(AND(B26&gt;=MIN('Scenario Assumptions'!C5:H5),B26&lt;=MAX('Scenario Assumptions'!C5:H5)),"OK - within bear-to-bull range","CHECK")</f>
        <v/>
      </c>
    </row>
    <row r="27">
      <c r="A27" s="9" t="inlineStr">
        <is>
          <t>Applications growth % FY27</t>
        </is>
      </c>
      <c r="B27" s="18">
        <f>'Scenario Assumptions'!I7</f>
        <v/>
      </c>
      <c r="C27" s="9">
        <f>IF(AND(B27&gt;=MIN('Scenario Assumptions'!C7:H7),B27&lt;=MAX('Scenario Assumptions'!C7:H7)),"OK - within bear-to-bull range","CHECK")</f>
        <v/>
      </c>
    </row>
    <row r="28">
      <c r="A28" s="9" t="inlineStr">
        <is>
          <t>GAAP gross margin % FY27</t>
        </is>
      </c>
      <c r="B28" s="18">
        <f>'Scenario Assumptions'!I11</f>
        <v/>
      </c>
      <c r="C28" s="9">
        <f>IF(AND(B28&gt;=MIN('Scenario Assumptions'!C11:H11),B28&lt;=MAX('Scenario Assumptions'!C11:H11)),"OK - within bear-to-bull range","CHECK")</f>
        <v/>
      </c>
    </row>
    <row r="29">
      <c r="A29" s="9" t="inlineStr">
        <is>
          <t>Non-GAAP operating margin % FY27</t>
        </is>
      </c>
      <c r="B29" s="18">
        <f>'Scenario Assumptions'!I13</f>
        <v/>
      </c>
      <c r="C29" s="9">
        <f>IF(AND(B29&gt;=MIN('Scenario Assumptions'!C13:H13),B29&lt;=MAX('Scenario Assumptions'!C13:H13)),"OK - within bear-to-bull range","CHECK")</f>
        <v/>
      </c>
    </row>
    <row r="32">
      <c r="A32" s="3" t="inlineStr">
        <is>
          <t>Note</t>
        </is>
      </c>
    </row>
    <row r="33" ht="60" customHeight="1">
      <c r="A33" s="7" t="inlineStr">
        <is>
          <t>This Checks tab covers what Gate 10's minimal scope actually builds: revenue-stream additivity and quarter-to-FY ties (historical and forecast), plus a scenario-switch sanity check. It does NOT yet include balance-sheet ties, cash-flow ties, or the full GAAP/non-GAAP bridge check (CHECK_090) - those require the debt/lease/capex mechanics that are Gate 12 (full build) scope. Gate 11 (model checks) should expand this tab before Gate 12 adds the balance-sheet and cash-flow schedules.</t>
        </is>
      </c>
    </row>
    <row r="36">
      <c r="A36" s="3" t="inlineStr">
        <is>
          <t>CHECK_090 — GAAP/non-GAAP bridge: (Non-GAAP OI - GAAP OI) - (SBC + Amort + Acq/Restructuring)</t>
        </is>
      </c>
    </row>
    <row r="37">
      <c r="A37" s="23" t="inlineStr">
        <is>
          <t>Period</t>
        </is>
      </c>
      <c r="B37" s="23" t="inlineStr">
        <is>
          <t>FY25_Q1</t>
        </is>
      </c>
      <c r="C37" s="23" t="inlineStr">
        <is>
          <t>FY25_Q2</t>
        </is>
      </c>
      <c r="D37" s="23" t="inlineStr">
        <is>
          <t>FY25_Q3</t>
        </is>
      </c>
      <c r="E37" s="23" t="inlineStr">
        <is>
          <t>FY25_Q4</t>
        </is>
      </c>
      <c r="F37" s="23" t="inlineStr">
        <is>
          <t>FY26_Q1</t>
        </is>
      </c>
      <c r="G37" s="23" t="inlineStr">
        <is>
          <t>FY26_Q2</t>
        </is>
      </c>
      <c r="H37" s="23" t="inlineStr">
        <is>
          <t>FY26_Q3</t>
        </is>
      </c>
      <c r="I37" s="23" t="inlineStr">
        <is>
          <t>FY26_Q4</t>
        </is>
      </c>
    </row>
    <row r="38">
      <c r="A38" s="9" t="inlineStr">
        <is>
          <t>Variance ($mm), should be ~0 (rounding tolerance $1mm)</t>
        </is>
      </c>
      <c r="B38" s="11">
        <f>('Historical Actuals'!B16-'Historical Actuals'!B15)-('Historical Actuals'!B25+'Historical Actuals'!B24+'Historical Actuals'!B26)</f>
        <v/>
      </c>
      <c r="C38" s="11">
        <f>('Historical Actuals'!C16-'Historical Actuals'!C15)-('Historical Actuals'!C25+'Historical Actuals'!C24+'Historical Actuals'!C26)</f>
        <v/>
      </c>
      <c r="D38" s="11">
        <f>('Historical Actuals'!D16-'Historical Actuals'!D15)-('Historical Actuals'!D25+'Historical Actuals'!D24+'Historical Actuals'!D26)</f>
        <v/>
      </c>
      <c r="E38" s="11">
        <f>('Historical Actuals'!E16-'Historical Actuals'!E15)-('Historical Actuals'!E25+'Historical Actuals'!E24+'Historical Actuals'!E26)</f>
        <v/>
      </c>
      <c r="F38" s="11">
        <f>('Historical Actuals'!F16-'Historical Actuals'!F15)-('Historical Actuals'!F25+'Historical Actuals'!F24+'Historical Actuals'!F26)</f>
        <v/>
      </c>
      <c r="G38" s="11">
        <f>('Historical Actuals'!G16-'Historical Actuals'!G15)-('Historical Actuals'!G25+'Historical Actuals'!G24+'Historical Actuals'!G26)</f>
        <v/>
      </c>
      <c r="H38" s="11">
        <f>('Historical Actuals'!H16-'Historical Actuals'!H15)-('Historical Actuals'!H25+'Historical Actuals'!H24+'Historical Actuals'!H26)</f>
        <v/>
      </c>
      <c r="I38" s="11">
        <f>('Historical Actuals'!I16-'Historical Actuals'!I15)-('Historical Actuals'!I25+'Historical Actuals'!I24+'Historical Actuals'!I26)</f>
        <v/>
      </c>
    </row>
    <row r="40" ht="45" customHeight="1">
      <c r="A40" s="7" t="inlineStr">
        <is>
          <t>Note: this re-derives the GAAP/non-GAAP bridge from filed reconciling items (OPEX_040/050/060/065/070) independently of how PROF_030 was originally extracted (reported directly from the release), so it is a genuine second-source check, not a tautology. Ties within $1mm rounding across all 8 historical quarters. Forecast tab does not model these reconciling items yet (Gate 12) so this check is historical-only.</t>
        </is>
      </c>
    </row>
    <row r="43">
      <c r="A43" s="3" t="inlineStr">
        <is>
          <t>CHECK_080 — Debt roll-forward: Beginning + Implied net issuance = Ending</t>
        </is>
      </c>
    </row>
    <row r="44">
      <c r="A44" s="23" t="inlineStr"/>
      <c r="B44" s="23" t="inlineStr">
        <is>
          <t>FY2027</t>
        </is>
      </c>
      <c r="C44" s="23" t="inlineStr">
        <is>
          <t>FY2028</t>
        </is>
      </c>
    </row>
    <row r="45">
      <c r="A45" s="9" t="inlineStr">
        <is>
          <t>Variance ($mm), should be exactly 0 (net issuance is defined as the plug, so this is true by construction — documents the identity, not an independent finding)</t>
        </is>
      </c>
      <c r="B45" s="11">
        <f>'Debt, Leases &amp; Cash'!$B$5+'Debt, Leases &amp; Cash'!K8-'Debt, Leases &amp; Cash'!K6</f>
        <v/>
      </c>
      <c r="C45" s="11">
        <f>'Debt, Leases &amp; Cash'!K6+'Debt, Leases &amp; Cash'!L8-'Debt, Leases &amp; Cash'!L6</f>
        <v/>
      </c>
    </row>
    <row r="48">
      <c r="A48" s="3" t="inlineStr">
        <is>
          <t>CHECK_100 — Cash tie: Beginning + Implied OCF − Net cash capex + Net debt issuance = Ending</t>
        </is>
      </c>
    </row>
    <row r="49">
      <c r="A49" s="23" t="inlineStr"/>
      <c r="B49" s="23" t="inlineStr">
        <is>
          <t>FY2027</t>
        </is>
      </c>
      <c r="C49" s="23" t="inlineStr">
        <is>
          <t>FY2028</t>
        </is>
      </c>
    </row>
    <row r="50">
      <c r="A50" s="9" t="inlineStr">
        <is>
          <t>Variance ($mm), should be exactly 0 (OCF is solved as this identity's plug — true by construction, documents the identity)</t>
        </is>
      </c>
      <c r="B50" s="11">
        <f>'Debt, Leases &amp; Cash'!$B$18+'Cash Flow &amp; Returns'!K13-'Cash Flow &amp; Returns'!K7+'Debt, Leases &amp; Cash'!K8-'Debt, Leases &amp; Cash'!K19</f>
        <v/>
      </c>
      <c r="C50" s="11">
        <f>'Debt, Leases &amp; Cash'!K19+'Cash Flow &amp; Returns'!L13-'Cash Flow &amp; Returns'!L7+'Debt, Leases &amp; Cash'!L8-'Debt, Leases &amp; Cash'!L19</f>
        <v/>
      </c>
    </row>
    <row r="53">
      <c r="A53" s="3" t="inlineStr">
        <is>
          <t>Note (Gate 12)</t>
        </is>
      </c>
    </row>
    <row r="54" ht="45" customHeight="1">
      <c r="A54" s="7" t="inlineStr">
        <is>
          <t>CHECK_080 and CHECK_100 are true by construction (the model solves for the plug that makes them tie), so a passing result confirms the formulas are wired correctly, not that the underlying forecast is realistic — that judgment lives in whether the implied OCF and net debt issuance levels look plausible against Oracle's own guidance and history, which is a Gate 13 valuation-interpretation question, not a mechanical check.</t>
        </is>
      </c>
    </row>
  </sheetData>
  <mergeCells count="4">
    <mergeCell ref="A2:K2"/>
    <mergeCell ref="A33:H33"/>
    <mergeCell ref="A54:H54"/>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2026-07-21T22:01:57Z</dcterms:created>
  <dcterms:modified xmlns:dcterms="http://purl.org/dc/terms/" xmlns:xsi="http://www.w3.org/2001/XMLSchema-instance" xsi:type="dcterms:W3CDTF">2026-07-22T22:52:31Z</dcterms:modified>
</cp:coreProperties>
</file>